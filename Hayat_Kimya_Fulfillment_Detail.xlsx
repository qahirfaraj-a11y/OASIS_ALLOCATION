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Link\.gemini\antigravity\scratch\"/>
    </mc:Choice>
  </mc:AlternateContent>
  <bookViews>
    <workbookView xWindow="0" yWindow="0" windowWidth="23040" windowHeight="9072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F175" i="1" l="1"/>
  <c r="F173" i="1"/>
  <c r="G171" i="1"/>
  <c r="G156" i="1"/>
  <c r="G135" i="1"/>
  <c r="G112" i="1"/>
  <c r="G96" i="1"/>
  <c r="G77" i="1"/>
  <c r="G44" i="1"/>
  <c r="G35" i="1"/>
  <c r="G23" i="1"/>
  <c r="G11" i="1"/>
</calcChain>
</file>

<file path=xl/sharedStrings.xml><?xml version="1.0" encoding="utf-8"?>
<sst xmlns="http://schemas.openxmlformats.org/spreadsheetml/2006/main" count="649" uniqueCount="79">
  <si>
    <t>Vendor Name</t>
  </si>
  <si>
    <t>PO No</t>
  </si>
  <si>
    <t>PO Date</t>
  </si>
  <si>
    <t>GRN No</t>
  </si>
  <si>
    <t>GRN Date</t>
  </si>
  <si>
    <t>Fulfillment Days</t>
  </si>
  <si>
    <t>Item Name</t>
  </si>
  <si>
    <t>GRN Qty</t>
  </si>
  <si>
    <t>Net Amt</t>
  </si>
  <si>
    <t>SH0081 - HAYAT KIMYA  K  H PRODUCTS LTD</t>
  </si>
  <si>
    <t>2027110009323</t>
  </si>
  <si>
    <t>2027110008853</t>
  </si>
  <si>
    <t>Molfix Pants Xxl Jumbo 36*3 25+Kg</t>
  </si>
  <si>
    <t>Molped Ultra Long Fresh &amp; Comfort 7S</t>
  </si>
  <si>
    <t>Molfix Baby Diapers Hc 42S Medium No.3</t>
  </si>
  <si>
    <t>Molfix Pants Midi 62*3 Jumbo 6.1-9Kg</t>
  </si>
  <si>
    <t>Molfix Pants Maxi 56*3 Jumbo 9.1-15Kg</t>
  </si>
  <si>
    <t>Molfix Pants Junior 26 Twin S5 15-20Kg</t>
  </si>
  <si>
    <t>Molped Pure&amp;Soft Ex Long 14S</t>
  </si>
  <si>
    <t>Molped Pure&amp;Soft Long 16S</t>
  </si>
  <si>
    <t>Molfix 50S Isotonic Wet Wipes Newborn</t>
  </si>
  <si>
    <t>2027110010692</t>
  </si>
  <si>
    <t>2027110010257</t>
  </si>
  <si>
    <t>Molfix Pants Xxl Hc 22*4 20+ Kg</t>
  </si>
  <si>
    <t>Molfix Pants Xxl Jumbo 44*3  20+Kg</t>
  </si>
  <si>
    <t>Molped Ultra Extra Long Fresh &amp; Comfort 6S</t>
  </si>
  <si>
    <t>Molfix Diapers Day&amp;Night Maxi 9.1-15Kg 8S</t>
  </si>
  <si>
    <t>Molfix Pants Junior 52 Jumbo S5 15-20Kg</t>
  </si>
  <si>
    <t>Molped Super Night Extra Long 6S</t>
  </si>
  <si>
    <t>Molped Super Night Super Long 5S</t>
  </si>
  <si>
    <t>Bingo 1L Purple Dreams Fabric Softner</t>
  </si>
  <si>
    <t>2027110010736</t>
  </si>
  <si>
    <t>2027110010255</t>
  </si>
  <si>
    <t>Familia 90S Wet Wipes Lavender Freshness</t>
  </si>
  <si>
    <t>Familia 90S Wet Wipes Mineral Freshness</t>
  </si>
  <si>
    <t>2027110011473</t>
  </si>
  <si>
    <t>2027110010979</t>
  </si>
  <si>
    <t>Molfix Baby Diapers Jumbo 64S Large No.4</t>
  </si>
  <si>
    <t>Bingo 1L Sea Breeze Fabric Softner</t>
  </si>
  <si>
    <t>Bingo 1L Soft Lovely Fabric Softner</t>
  </si>
  <si>
    <t>Bingo 1440Ml Soft Summer Fabric Softner</t>
  </si>
  <si>
    <t>2027110011989</t>
  </si>
  <si>
    <t>2027110011361</t>
  </si>
  <si>
    <t>Molped 20S Intense Protection Pantyliners</t>
  </si>
  <si>
    <t>Bingo 1440Ml Magnolia Garden Fabric Softner</t>
  </si>
  <si>
    <t>2027120001227</t>
  </si>
  <si>
    <t>2027120001206</t>
  </si>
  <si>
    <t>Molfix Newborn No1 50X4 Twin</t>
  </si>
  <si>
    <t>Molfix Baby Diaper Xxlarge No.6 30S Twin</t>
  </si>
  <si>
    <t>Molfix Pants Maxi 28*4 Twin 9.1-15Kg</t>
  </si>
  <si>
    <t>Molped Super Night Long 7S</t>
  </si>
  <si>
    <t>2027120002012</t>
  </si>
  <si>
    <t>2027120001984</t>
  </si>
  <si>
    <t>Molfix Baby Diaper Xxlarge No.6 48S Jumbo</t>
  </si>
  <si>
    <t>Molfix Baby Diapers Hc 40S Large No.4</t>
  </si>
  <si>
    <t>Molped 20S Everyday Freshness Pantyliners</t>
  </si>
  <si>
    <t>Molped Pure&amp;Soft Long 8S</t>
  </si>
  <si>
    <t>Molped Pure&amp;Soft Ex Long 7S</t>
  </si>
  <si>
    <t>2027120003419</t>
  </si>
  <si>
    <t>2027120003428</t>
  </si>
  <si>
    <t>Molped 16S Pure &amp; Soft Pantyliners</t>
  </si>
  <si>
    <t>Molped Pure &amp; Soft Panty Liners Sw 30X20</t>
  </si>
  <si>
    <t>Molfix 60S Isotonic Wet Wipes Sensitive Skin</t>
  </si>
  <si>
    <t>1001120013471</t>
  </si>
  <si>
    <t>2027120005950</t>
  </si>
  <si>
    <t>1001120017021</t>
  </si>
  <si>
    <t>2027120006302</t>
  </si>
  <si>
    <t>1001120019342</t>
  </si>
  <si>
    <t>2027120006836</t>
  </si>
  <si>
    <t>Molped Ultra Fresh &amp; Comfort Long 16S Vp</t>
  </si>
  <si>
    <t>Molped Ultra Fresh &amp; Comfort Xl 14S Vp</t>
  </si>
  <si>
    <t>1001120021372</t>
  </si>
  <si>
    <t>2027120007097</t>
  </si>
  <si>
    <t>Molped 16S First &amp; Last Days Pantyliners</t>
  </si>
  <si>
    <t>Bingo 1440Ml Soft Concentrate Lavender</t>
  </si>
  <si>
    <t>1001120005403</t>
  </si>
  <si>
    <t>2027120004206</t>
  </si>
  <si>
    <t>1001120009811</t>
  </si>
  <si>
    <t>2027120005063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</si>
</sst>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5"/>
  <sheetViews>
    <sheetView tabSelected="1" topLeftCell="A54" workbookViewId="0">
      <selection activeCell="E54" sqref="E54"/>
    </sheetView>
  </sheetViews>
  <sheetFormatPr defaultRowHeight="14.4" outlineLevelRow="2" x14ac:dyDescent="0.3"/>
  <cols>
    <col min="2" max="2" width="19.33203125" customWidth="1"/>
    <col min="3" max="3" width="24" customWidth="1"/>
    <col min="4" max="4" width="32.88671875" customWidth="1"/>
    <col min="5" max="6" width="19.44140625" customWidth="1"/>
    <col min="7" max="7" width="16.6640625" customWidth="1"/>
    <col min="8" max="8" width="17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/>
      <c r="G1" s="1" t="s">
        <v>5</v>
      </c>
      <c r="H1" s="1" t="s">
        <v>6</v>
      </c>
      <c r="I1" s="1" t="s">
        <v>7</v>
      </c>
      <c r="J1" s="1" t="s">
        <v>8</v>
      </c>
    </row>
    <row r="2" spans="1:10" outlineLevel="2" x14ac:dyDescent="0.3">
      <c r="A2" t="s">
        <v>9</v>
      </c>
      <c r="B2" t="s">
        <v>10</v>
      </c>
      <c r="C2" s="2">
        <v>45671</v>
      </c>
      <c r="D2" t="s">
        <v>11</v>
      </c>
      <c r="E2" s="2">
        <v>45673</v>
      </c>
      <c r="F2" s="4"/>
      <c r="G2">
        <v>2</v>
      </c>
      <c r="H2" t="s">
        <v>12</v>
      </c>
      <c r="I2">
        <v>3</v>
      </c>
      <c r="J2">
        <v>4405.7843999999996</v>
      </c>
    </row>
    <row r="3" spans="1:10" outlineLevel="2" x14ac:dyDescent="0.3">
      <c r="A3" t="s">
        <v>9</v>
      </c>
      <c r="B3" t="s">
        <v>10</v>
      </c>
      <c r="C3" s="2">
        <v>45671</v>
      </c>
      <c r="D3" t="s">
        <v>11</v>
      </c>
      <c r="E3" s="2">
        <v>45673</v>
      </c>
      <c r="F3" s="4"/>
      <c r="G3">
        <v>2</v>
      </c>
      <c r="H3" t="s">
        <v>13</v>
      </c>
      <c r="I3">
        <v>16</v>
      </c>
      <c r="J3">
        <v>1428</v>
      </c>
    </row>
    <row r="4" spans="1:10" outlineLevel="2" x14ac:dyDescent="0.3">
      <c r="A4" t="s">
        <v>9</v>
      </c>
      <c r="B4" t="s">
        <v>10</v>
      </c>
      <c r="C4" s="2">
        <v>45671</v>
      </c>
      <c r="D4" t="s">
        <v>11</v>
      </c>
      <c r="E4" s="2">
        <v>45673</v>
      </c>
      <c r="F4" s="4"/>
      <c r="G4">
        <v>2</v>
      </c>
      <c r="H4" t="s">
        <v>14</v>
      </c>
      <c r="I4">
        <v>4</v>
      </c>
      <c r="J4">
        <v>3296.8128000000002</v>
      </c>
    </row>
    <row r="5" spans="1:10" outlineLevel="2" x14ac:dyDescent="0.3">
      <c r="A5" t="s">
        <v>9</v>
      </c>
      <c r="B5" t="s">
        <v>10</v>
      </c>
      <c r="C5" s="2">
        <v>45671</v>
      </c>
      <c r="D5" t="s">
        <v>11</v>
      </c>
      <c r="E5" s="2">
        <v>45673</v>
      </c>
      <c r="F5" s="4"/>
      <c r="G5">
        <v>2</v>
      </c>
      <c r="H5" t="s">
        <v>15</v>
      </c>
      <c r="I5">
        <v>3</v>
      </c>
      <c r="J5">
        <v>4047.6576</v>
      </c>
    </row>
    <row r="6" spans="1:10" outlineLevel="2" x14ac:dyDescent="0.3">
      <c r="A6" t="s">
        <v>9</v>
      </c>
      <c r="B6" t="s">
        <v>10</v>
      </c>
      <c r="C6" s="2">
        <v>45671</v>
      </c>
      <c r="D6" t="s">
        <v>11</v>
      </c>
      <c r="E6" s="2">
        <v>45673</v>
      </c>
      <c r="F6" s="4"/>
      <c r="G6">
        <v>2</v>
      </c>
      <c r="H6" t="s">
        <v>16</v>
      </c>
      <c r="I6">
        <v>12</v>
      </c>
      <c r="J6">
        <v>16190.6304</v>
      </c>
    </row>
    <row r="7" spans="1:10" outlineLevel="2" x14ac:dyDescent="0.3">
      <c r="A7" t="s">
        <v>9</v>
      </c>
      <c r="B7" t="s">
        <v>10</v>
      </c>
      <c r="C7" s="2">
        <v>45671</v>
      </c>
      <c r="D7" t="s">
        <v>11</v>
      </c>
      <c r="E7" s="2">
        <v>45673</v>
      </c>
      <c r="F7" s="4"/>
      <c r="G7">
        <v>2</v>
      </c>
      <c r="H7" t="s">
        <v>17</v>
      </c>
      <c r="I7">
        <v>4</v>
      </c>
      <c r="J7">
        <v>2996.8832000000002</v>
      </c>
    </row>
    <row r="8" spans="1:10" outlineLevel="2" x14ac:dyDescent="0.3">
      <c r="A8" t="s">
        <v>9</v>
      </c>
      <c r="B8" t="s">
        <v>10</v>
      </c>
      <c r="C8" s="2">
        <v>45671</v>
      </c>
      <c r="D8" t="s">
        <v>11</v>
      </c>
      <c r="E8" s="2">
        <v>45673</v>
      </c>
      <c r="F8" s="4"/>
      <c r="G8">
        <v>2</v>
      </c>
      <c r="H8" t="s">
        <v>18</v>
      </c>
      <c r="I8">
        <v>48</v>
      </c>
      <c r="J8">
        <v>5940</v>
      </c>
    </row>
    <row r="9" spans="1:10" outlineLevel="2" x14ac:dyDescent="0.3">
      <c r="A9" t="s">
        <v>9</v>
      </c>
      <c r="B9" t="s">
        <v>10</v>
      </c>
      <c r="C9" s="2">
        <v>45671</v>
      </c>
      <c r="D9" t="s">
        <v>11</v>
      </c>
      <c r="E9" s="2">
        <v>45673</v>
      </c>
      <c r="F9" s="4"/>
      <c r="G9">
        <v>2</v>
      </c>
      <c r="H9" t="s">
        <v>19</v>
      </c>
      <c r="I9">
        <v>48</v>
      </c>
      <c r="J9">
        <v>7920</v>
      </c>
    </row>
    <row r="10" spans="1:10" outlineLevel="2" x14ac:dyDescent="0.3">
      <c r="A10" t="s">
        <v>9</v>
      </c>
      <c r="B10" t="s">
        <v>10</v>
      </c>
      <c r="C10" s="2">
        <v>45671</v>
      </c>
      <c r="D10" t="s">
        <v>11</v>
      </c>
      <c r="E10" s="2">
        <v>45673</v>
      </c>
      <c r="F10" s="4"/>
      <c r="G10">
        <v>2</v>
      </c>
      <c r="H10" t="s">
        <v>20</v>
      </c>
      <c r="I10">
        <v>12</v>
      </c>
      <c r="J10">
        <v>1800.9695999999999</v>
      </c>
    </row>
    <row r="11" spans="1:10" outlineLevel="1" x14ac:dyDescent="0.3">
      <c r="C11" s="2"/>
      <c r="E11" s="2"/>
      <c r="F11" s="5">
        <v>2</v>
      </c>
      <c r="G11">
        <f>SUBTOTAL(9,G2:G10)</f>
        <v>18</v>
      </c>
    </row>
    <row r="12" spans="1:10" outlineLevel="2" x14ac:dyDescent="0.3">
      <c r="A12" t="s">
        <v>9</v>
      </c>
      <c r="B12" t="s">
        <v>21</v>
      </c>
      <c r="C12" s="2">
        <v>45701</v>
      </c>
      <c r="D12" t="s">
        <v>22</v>
      </c>
      <c r="E12" s="2">
        <v>45705</v>
      </c>
      <c r="F12" s="4"/>
      <c r="G12">
        <v>4</v>
      </c>
      <c r="H12" t="s">
        <v>23</v>
      </c>
      <c r="I12">
        <v>8</v>
      </c>
      <c r="J12">
        <v>5993.7664000000004</v>
      </c>
    </row>
    <row r="13" spans="1:10" outlineLevel="2" x14ac:dyDescent="0.3">
      <c r="A13" t="s">
        <v>9</v>
      </c>
      <c r="B13" t="s">
        <v>21</v>
      </c>
      <c r="C13" s="2">
        <v>45701</v>
      </c>
      <c r="D13" t="s">
        <v>22</v>
      </c>
      <c r="E13" s="2">
        <v>45705</v>
      </c>
      <c r="F13" s="4"/>
      <c r="G13">
        <v>4</v>
      </c>
      <c r="H13" t="s">
        <v>24</v>
      </c>
      <c r="I13">
        <v>6</v>
      </c>
      <c r="J13">
        <v>8095.3152</v>
      </c>
    </row>
    <row r="14" spans="1:10" outlineLevel="2" x14ac:dyDescent="0.3">
      <c r="A14" t="s">
        <v>9</v>
      </c>
      <c r="B14" t="s">
        <v>21</v>
      </c>
      <c r="C14" s="2">
        <v>45701</v>
      </c>
      <c r="D14" t="s">
        <v>22</v>
      </c>
      <c r="E14" s="2">
        <v>45705</v>
      </c>
      <c r="F14" s="4"/>
      <c r="G14">
        <v>4</v>
      </c>
      <c r="H14" t="s">
        <v>12</v>
      </c>
      <c r="I14">
        <v>6</v>
      </c>
      <c r="J14">
        <v>8811.5687999999991</v>
      </c>
    </row>
    <row r="15" spans="1:10" outlineLevel="2" x14ac:dyDescent="0.3">
      <c r="A15" t="s">
        <v>9</v>
      </c>
      <c r="B15" t="s">
        <v>21</v>
      </c>
      <c r="C15" s="2">
        <v>45701</v>
      </c>
      <c r="D15" t="s">
        <v>22</v>
      </c>
      <c r="E15" s="2">
        <v>45705</v>
      </c>
      <c r="F15" s="4"/>
      <c r="G15">
        <v>4</v>
      </c>
      <c r="H15" t="s">
        <v>13</v>
      </c>
      <c r="I15">
        <v>48</v>
      </c>
      <c r="J15">
        <v>4284</v>
      </c>
    </row>
    <row r="16" spans="1:10" outlineLevel="2" x14ac:dyDescent="0.3">
      <c r="A16" t="s">
        <v>9</v>
      </c>
      <c r="B16" t="s">
        <v>21</v>
      </c>
      <c r="C16" s="2">
        <v>45701</v>
      </c>
      <c r="D16" t="s">
        <v>22</v>
      </c>
      <c r="E16" s="2">
        <v>45705</v>
      </c>
      <c r="F16" s="4"/>
      <c r="G16">
        <v>4</v>
      </c>
      <c r="H16" t="s">
        <v>25</v>
      </c>
      <c r="I16">
        <v>16</v>
      </c>
      <c r="J16">
        <v>1428</v>
      </c>
    </row>
    <row r="17" spans="1:10" outlineLevel="2" x14ac:dyDescent="0.3">
      <c r="A17" t="s">
        <v>9</v>
      </c>
      <c r="B17" t="s">
        <v>21</v>
      </c>
      <c r="C17" s="2">
        <v>45701</v>
      </c>
      <c r="D17" t="s">
        <v>22</v>
      </c>
      <c r="E17" s="2">
        <v>45705</v>
      </c>
      <c r="F17" s="4"/>
      <c r="G17">
        <v>4</v>
      </c>
      <c r="H17" t="s">
        <v>26</v>
      </c>
      <c r="I17">
        <v>12</v>
      </c>
      <c r="J17">
        <v>2150.9184</v>
      </c>
    </row>
    <row r="18" spans="1:10" outlineLevel="2" x14ac:dyDescent="0.3">
      <c r="A18" t="s">
        <v>9</v>
      </c>
      <c r="B18" t="s">
        <v>21</v>
      </c>
      <c r="C18" s="2">
        <v>45701</v>
      </c>
      <c r="D18" t="s">
        <v>22</v>
      </c>
      <c r="E18" s="2">
        <v>45705</v>
      </c>
      <c r="F18" s="4"/>
      <c r="G18">
        <v>4</v>
      </c>
      <c r="H18" t="s">
        <v>27</v>
      </c>
      <c r="I18">
        <v>3</v>
      </c>
      <c r="J18">
        <v>4047.6576</v>
      </c>
    </row>
    <row r="19" spans="1:10" outlineLevel="2" x14ac:dyDescent="0.3">
      <c r="A19" t="s">
        <v>9</v>
      </c>
      <c r="B19" t="s">
        <v>21</v>
      </c>
      <c r="C19" s="2">
        <v>45701</v>
      </c>
      <c r="D19" t="s">
        <v>22</v>
      </c>
      <c r="E19" s="2">
        <v>45705</v>
      </c>
      <c r="F19" s="4"/>
      <c r="G19">
        <v>4</v>
      </c>
      <c r="H19" t="s">
        <v>28</v>
      </c>
      <c r="I19">
        <v>32</v>
      </c>
      <c r="J19">
        <v>2856</v>
      </c>
    </row>
    <row r="20" spans="1:10" outlineLevel="2" x14ac:dyDescent="0.3">
      <c r="A20" t="s">
        <v>9</v>
      </c>
      <c r="B20" t="s">
        <v>21</v>
      </c>
      <c r="C20" s="2">
        <v>45701</v>
      </c>
      <c r="D20" t="s">
        <v>22</v>
      </c>
      <c r="E20" s="2">
        <v>45705</v>
      </c>
      <c r="F20" s="4"/>
      <c r="G20">
        <v>4</v>
      </c>
      <c r="H20" t="s">
        <v>29</v>
      </c>
      <c r="I20">
        <v>32</v>
      </c>
      <c r="J20">
        <v>2856</v>
      </c>
    </row>
    <row r="21" spans="1:10" outlineLevel="2" x14ac:dyDescent="0.3">
      <c r="A21" t="s">
        <v>9</v>
      </c>
      <c r="B21" t="s">
        <v>21</v>
      </c>
      <c r="C21" s="2">
        <v>45701</v>
      </c>
      <c r="D21" t="s">
        <v>22</v>
      </c>
      <c r="E21" s="2">
        <v>45705</v>
      </c>
      <c r="F21" s="4"/>
      <c r="G21">
        <v>4</v>
      </c>
      <c r="H21" t="s">
        <v>18</v>
      </c>
      <c r="I21">
        <v>32</v>
      </c>
      <c r="J21">
        <v>3960</v>
      </c>
    </row>
    <row r="22" spans="1:10" outlineLevel="2" x14ac:dyDescent="0.3">
      <c r="A22" t="s">
        <v>9</v>
      </c>
      <c r="B22" t="s">
        <v>21</v>
      </c>
      <c r="C22" s="2">
        <v>45701</v>
      </c>
      <c r="D22" t="s">
        <v>22</v>
      </c>
      <c r="E22" s="2">
        <v>45705</v>
      </c>
      <c r="F22" s="4"/>
      <c r="G22">
        <v>4</v>
      </c>
      <c r="H22" t="s">
        <v>30</v>
      </c>
      <c r="I22">
        <v>16</v>
      </c>
      <c r="J22">
        <v>4201.119995</v>
      </c>
    </row>
    <row r="23" spans="1:10" outlineLevel="1" x14ac:dyDescent="0.3">
      <c r="C23" s="2"/>
      <c r="E23" s="2"/>
      <c r="F23" s="5">
        <v>4</v>
      </c>
      <c r="G23">
        <f>SUBTOTAL(9,G12:G22)</f>
        <v>44</v>
      </c>
    </row>
    <row r="24" spans="1:10" outlineLevel="2" x14ac:dyDescent="0.3">
      <c r="A24" t="s">
        <v>9</v>
      </c>
      <c r="B24" t="s">
        <v>31</v>
      </c>
      <c r="C24" s="2">
        <v>45702</v>
      </c>
      <c r="D24" t="s">
        <v>32</v>
      </c>
      <c r="E24" s="2">
        <v>45705</v>
      </c>
      <c r="F24" s="4"/>
      <c r="G24">
        <v>3</v>
      </c>
      <c r="H24" t="s">
        <v>33</v>
      </c>
      <c r="I24">
        <v>18</v>
      </c>
      <c r="J24">
        <v>3240.5400030000001</v>
      </c>
    </row>
    <row r="25" spans="1:10" outlineLevel="2" x14ac:dyDescent="0.3">
      <c r="A25" t="s">
        <v>9</v>
      </c>
      <c r="B25" t="s">
        <v>31</v>
      </c>
      <c r="C25" s="2">
        <v>45702</v>
      </c>
      <c r="D25" t="s">
        <v>32</v>
      </c>
      <c r="E25" s="2">
        <v>45705</v>
      </c>
      <c r="F25" s="4"/>
      <c r="G25">
        <v>3</v>
      </c>
      <c r="H25" t="s">
        <v>34</v>
      </c>
      <c r="I25">
        <v>18</v>
      </c>
      <c r="J25">
        <v>3240.5400030000001</v>
      </c>
    </row>
    <row r="26" spans="1:10" outlineLevel="2" x14ac:dyDescent="0.3">
      <c r="A26" t="s">
        <v>9</v>
      </c>
      <c r="B26" t="s">
        <v>35</v>
      </c>
      <c r="C26" s="2">
        <v>45719</v>
      </c>
      <c r="D26" t="s">
        <v>36</v>
      </c>
      <c r="E26" s="2">
        <v>45722</v>
      </c>
      <c r="F26" s="4"/>
      <c r="G26">
        <v>3</v>
      </c>
      <c r="H26" t="s">
        <v>24</v>
      </c>
      <c r="I26">
        <v>6</v>
      </c>
      <c r="J26">
        <v>8095.3152</v>
      </c>
    </row>
    <row r="27" spans="1:10" outlineLevel="2" x14ac:dyDescent="0.3">
      <c r="A27" t="s">
        <v>9</v>
      </c>
      <c r="B27" t="s">
        <v>35</v>
      </c>
      <c r="C27" s="2">
        <v>45719</v>
      </c>
      <c r="D27" t="s">
        <v>36</v>
      </c>
      <c r="E27" s="2">
        <v>45722</v>
      </c>
      <c r="F27" s="4"/>
      <c r="G27">
        <v>3</v>
      </c>
      <c r="H27" t="s">
        <v>25</v>
      </c>
      <c r="I27">
        <v>16</v>
      </c>
      <c r="J27">
        <v>1428</v>
      </c>
    </row>
    <row r="28" spans="1:10" outlineLevel="2" x14ac:dyDescent="0.3">
      <c r="A28" t="s">
        <v>9</v>
      </c>
      <c r="B28" t="s">
        <v>35</v>
      </c>
      <c r="C28" s="2">
        <v>45719</v>
      </c>
      <c r="D28" t="s">
        <v>36</v>
      </c>
      <c r="E28" s="2">
        <v>45722</v>
      </c>
      <c r="F28" s="4"/>
      <c r="G28">
        <v>3</v>
      </c>
      <c r="H28" t="s">
        <v>37</v>
      </c>
      <c r="I28">
        <v>3</v>
      </c>
      <c r="J28">
        <v>3822.6060000000002</v>
      </c>
    </row>
    <row r="29" spans="1:10" outlineLevel="2" x14ac:dyDescent="0.3">
      <c r="A29" t="s">
        <v>9</v>
      </c>
      <c r="B29" t="s">
        <v>35</v>
      </c>
      <c r="C29" s="2">
        <v>45719</v>
      </c>
      <c r="D29" t="s">
        <v>36</v>
      </c>
      <c r="E29" s="2">
        <v>45722</v>
      </c>
      <c r="F29" s="4"/>
      <c r="G29">
        <v>3</v>
      </c>
      <c r="H29" t="s">
        <v>27</v>
      </c>
      <c r="I29">
        <v>6</v>
      </c>
      <c r="J29">
        <v>8095.3152</v>
      </c>
    </row>
    <row r="30" spans="1:10" outlineLevel="2" x14ac:dyDescent="0.3">
      <c r="A30" t="s">
        <v>9</v>
      </c>
      <c r="B30" t="s">
        <v>35</v>
      </c>
      <c r="C30" s="2">
        <v>45719</v>
      </c>
      <c r="D30" t="s">
        <v>36</v>
      </c>
      <c r="E30" s="2">
        <v>45722</v>
      </c>
      <c r="F30" s="4"/>
      <c r="G30">
        <v>3</v>
      </c>
      <c r="H30" t="s">
        <v>38</v>
      </c>
      <c r="I30">
        <v>16</v>
      </c>
      <c r="J30">
        <v>4201.0559999999996</v>
      </c>
    </row>
    <row r="31" spans="1:10" outlineLevel="2" x14ac:dyDescent="0.3">
      <c r="A31" t="s">
        <v>9</v>
      </c>
      <c r="B31" t="s">
        <v>35</v>
      </c>
      <c r="C31" s="2">
        <v>45719</v>
      </c>
      <c r="D31" t="s">
        <v>36</v>
      </c>
      <c r="E31" s="2">
        <v>45722</v>
      </c>
      <c r="F31" s="4"/>
      <c r="G31">
        <v>3</v>
      </c>
      <c r="H31" t="s">
        <v>29</v>
      </c>
      <c r="I31">
        <v>48</v>
      </c>
      <c r="J31">
        <v>4284</v>
      </c>
    </row>
    <row r="32" spans="1:10" outlineLevel="2" x14ac:dyDescent="0.3">
      <c r="A32" t="s">
        <v>9</v>
      </c>
      <c r="B32" t="s">
        <v>35</v>
      </c>
      <c r="C32" s="2">
        <v>45719</v>
      </c>
      <c r="D32" t="s">
        <v>36</v>
      </c>
      <c r="E32" s="2">
        <v>45722</v>
      </c>
      <c r="F32" s="4"/>
      <c r="G32">
        <v>3</v>
      </c>
      <c r="H32" t="s">
        <v>18</v>
      </c>
      <c r="I32">
        <v>64</v>
      </c>
      <c r="J32">
        <v>7920</v>
      </c>
    </row>
    <row r="33" spans="1:10" outlineLevel="2" x14ac:dyDescent="0.3">
      <c r="A33" t="s">
        <v>9</v>
      </c>
      <c r="B33" t="s">
        <v>35</v>
      </c>
      <c r="C33" s="2">
        <v>45719</v>
      </c>
      <c r="D33" t="s">
        <v>36</v>
      </c>
      <c r="E33" s="2">
        <v>45722</v>
      </c>
      <c r="F33" s="4"/>
      <c r="G33">
        <v>3</v>
      </c>
      <c r="H33" t="s">
        <v>39</v>
      </c>
      <c r="I33">
        <v>16</v>
      </c>
      <c r="J33">
        <v>4201.0559999999996</v>
      </c>
    </row>
    <row r="34" spans="1:10" outlineLevel="2" x14ac:dyDescent="0.3">
      <c r="A34" t="s">
        <v>9</v>
      </c>
      <c r="B34" t="s">
        <v>35</v>
      </c>
      <c r="C34" s="2">
        <v>45719</v>
      </c>
      <c r="D34" t="s">
        <v>36</v>
      </c>
      <c r="E34" s="2">
        <v>45722</v>
      </c>
      <c r="F34" s="4"/>
      <c r="G34">
        <v>3</v>
      </c>
      <c r="H34" t="s">
        <v>40</v>
      </c>
      <c r="I34">
        <v>9</v>
      </c>
      <c r="J34">
        <v>6408.0720000000001</v>
      </c>
    </row>
    <row r="35" spans="1:10" outlineLevel="1" x14ac:dyDescent="0.3">
      <c r="C35" s="2"/>
      <c r="E35" s="2"/>
      <c r="F35" s="5">
        <v>3</v>
      </c>
      <c r="G35">
        <f>SUBTOTAL(9,G24:G34)</f>
        <v>33</v>
      </c>
    </row>
    <row r="36" spans="1:10" outlineLevel="2" x14ac:dyDescent="0.3">
      <c r="A36" t="s">
        <v>9</v>
      </c>
      <c r="B36" t="s">
        <v>41</v>
      </c>
      <c r="C36" s="2">
        <v>45729</v>
      </c>
      <c r="D36" t="s">
        <v>42</v>
      </c>
      <c r="E36" s="2">
        <v>45730</v>
      </c>
      <c r="F36" s="4"/>
      <c r="G36">
        <v>1</v>
      </c>
      <c r="H36" t="s">
        <v>24</v>
      </c>
      <c r="I36">
        <v>6</v>
      </c>
      <c r="J36">
        <v>8095.3152</v>
      </c>
    </row>
    <row r="37" spans="1:10" outlineLevel="2" x14ac:dyDescent="0.3">
      <c r="A37" t="s">
        <v>9</v>
      </c>
      <c r="B37" t="s">
        <v>41</v>
      </c>
      <c r="C37" s="2">
        <v>45729</v>
      </c>
      <c r="D37" t="s">
        <v>42</v>
      </c>
      <c r="E37" s="2">
        <v>45730</v>
      </c>
      <c r="F37" s="4"/>
      <c r="G37">
        <v>1</v>
      </c>
      <c r="H37" t="s">
        <v>13</v>
      </c>
      <c r="I37">
        <v>32</v>
      </c>
      <c r="J37">
        <v>2856</v>
      </c>
    </row>
    <row r="38" spans="1:10" outlineLevel="2" x14ac:dyDescent="0.3">
      <c r="A38" t="s">
        <v>9</v>
      </c>
      <c r="B38" t="s">
        <v>41</v>
      </c>
      <c r="C38" s="2">
        <v>45729</v>
      </c>
      <c r="D38" t="s">
        <v>42</v>
      </c>
      <c r="E38" s="2">
        <v>45730</v>
      </c>
      <c r="F38" s="4"/>
      <c r="G38">
        <v>1</v>
      </c>
      <c r="H38" t="s">
        <v>27</v>
      </c>
      <c r="I38">
        <v>6</v>
      </c>
      <c r="J38">
        <v>8095.3152</v>
      </c>
    </row>
    <row r="39" spans="1:10" outlineLevel="2" x14ac:dyDescent="0.3">
      <c r="A39" t="s">
        <v>9</v>
      </c>
      <c r="B39" t="s">
        <v>41</v>
      </c>
      <c r="C39" s="2">
        <v>45729</v>
      </c>
      <c r="D39" t="s">
        <v>42</v>
      </c>
      <c r="E39" s="2">
        <v>45730</v>
      </c>
      <c r="F39" s="4"/>
      <c r="G39">
        <v>1</v>
      </c>
      <c r="H39" t="s">
        <v>29</v>
      </c>
      <c r="I39">
        <v>32</v>
      </c>
      <c r="J39">
        <v>2856</v>
      </c>
    </row>
    <row r="40" spans="1:10" outlineLevel="2" x14ac:dyDescent="0.3">
      <c r="A40" t="s">
        <v>9</v>
      </c>
      <c r="B40" t="s">
        <v>41</v>
      </c>
      <c r="C40" s="2">
        <v>45729</v>
      </c>
      <c r="D40" t="s">
        <v>42</v>
      </c>
      <c r="E40" s="2">
        <v>45730</v>
      </c>
      <c r="F40" s="4"/>
      <c r="G40">
        <v>1</v>
      </c>
      <c r="H40" t="s">
        <v>43</v>
      </c>
      <c r="I40">
        <v>48</v>
      </c>
      <c r="J40">
        <v>5760.6527999999998</v>
      </c>
    </row>
    <row r="41" spans="1:10" outlineLevel="2" x14ac:dyDescent="0.3">
      <c r="A41" t="s">
        <v>9</v>
      </c>
      <c r="B41" t="s">
        <v>41</v>
      </c>
      <c r="C41" s="2">
        <v>45729</v>
      </c>
      <c r="D41" t="s">
        <v>42</v>
      </c>
      <c r="E41" s="2">
        <v>45730</v>
      </c>
      <c r="F41" s="4"/>
      <c r="G41">
        <v>1</v>
      </c>
      <c r="H41" t="s">
        <v>18</v>
      </c>
      <c r="I41">
        <v>48</v>
      </c>
      <c r="J41">
        <v>5940</v>
      </c>
    </row>
    <row r="42" spans="1:10" outlineLevel="2" x14ac:dyDescent="0.3">
      <c r="A42" t="s">
        <v>9</v>
      </c>
      <c r="B42" t="s">
        <v>41</v>
      </c>
      <c r="C42" s="2">
        <v>45729</v>
      </c>
      <c r="D42" t="s">
        <v>42</v>
      </c>
      <c r="E42" s="2">
        <v>45730</v>
      </c>
      <c r="F42" s="4"/>
      <c r="G42">
        <v>1</v>
      </c>
      <c r="H42" t="s">
        <v>30</v>
      </c>
      <c r="I42">
        <v>16</v>
      </c>
      <c r="J42">
        <v>4201.119995</v>
      </c>
    </row>
    <row r="43" spans="1:10" outlineLevel="2" x14ac:dyDescent="0.3">
      <c r="A43" t="s">
        <v>9</v>
      </c>
      <c r="B43" t="s">
        <v>41</v>
      </c>
      <c r="C43" s="2">
        <v>45729</v>
      </c>
      <c r="D43" t="s">
        <v>42</v>
      </c>
      <c r="E43" s="2">
        <v>45730</v>
      </c>
      <c r="F43" s="4"/>
      <c r="G43">
        <v>1</v>
      </c>
      <c r="H43" t="s">
        <v>44</v>
      </c>
      <c r="I43">
        <v>9</v>
      </c>
      <c r="J43">
        <v>6408.0720000000001</v>
      </c>
    </row>
    <row r="44" spans="1:10" outlineLevel="1" x14ac:dyDescent="0.3">
      <c r="C44" s="2"/>
      <c r="E44" s="2"/>
      <c r="F44" s="5">
        <v>1</v>
      </c>
      <c r="G44">
        <f>SUBTOTAL(9,G36:G43)</f>
        <v>8</v>
      </c>
    </row>
    <row r="45" spans="1:10" outlineLevel="2" x14ac:dyDescent="0.3">
      <c r="A45" t="s">
        <v>9</v>
      </c>
      <c r="B45" t="s">
        <v>45</v>
      </c>
      <c r="C45" s="2">
        <v>45864</v>
      </c>
      <c r="D45" t="s">
        <v>46</v>
      </c>
      <c r="E45" s="2">
        <v>45866</v>
      </c>
      <c r="F45" s="4"/>
      <c r="G45">
        <v>2</v>
      </c>
      <c r="H45" t="s">
        <v>24</v>
      </c>
      <c r="I45">
        <v>3</v>
      </c>
      <c r="J45">
        <v>4047.6576</v>
      </c>
    </row>
    <row r="46" spans="1:10" outlineLevel="2" x14ac:dyDescent="0.3">
      <c r="A46" t="s">
        <v>9</v>
      </c>
      <c r="B46" t="s">
        <v>45</v>
      </c>
      <c r="C46" s="2">
        <v>45864</v>
      </c>
      <c r="D46" t="s">
        <v>46</v>
      </c>
      <c r="E46" s="2">
        <v>45866</v>
      </c>
      <c r="F46" s="4"/>
      <c r="G46">
        <v>2</v>
      </c>
      <c r="H46" t="s">
        <v>47</v>
      </c>
      <c r="I46">
        <v>4</v>
      </c>
      <c r="J46">
        <v>3296.8128000000002</v>
      </c>
    </row>
    <row r="47" spans="1:10" outlineLevel="2" x14ac:dyDescent="0.3">
      <c r="A47" t="s">
        <v>9</v>
      </c>
      <c r="B47" t="s">
        <v>45</v>
      </c>
      <c r="C47" s="2">
        <v>45864</v>
      </c>
      <c r="D47" t="s">
        <v>46</v>
      </c>
      <c r="E47" s="2">
        <v>45866</v>
      </c>
      <c r="F47" s="4"/>
      <c r="G47">
        <v>2</v>
      </c>
      <c r="H47" t="s">
        <v>48</v>
      </c>
      <c r="I47">
        <v>4</v>
      </c>
      <c r="J47">
        <v>3296.0000020000002</v>
      </c>
    </row>
    <row r="48" spans="1:10" outlineLevel="2" x14ac:dyDescent="0.3">
      <c r="A48" t="s">
        <v>9</v>
      </c>
      <c r="B48" t="s">
        <v>45</v>
      </c>
      <c r="C48" s="2">
        <v>45864</v>
      </c>
      <c r="D48" t="s">
        <v>46</v>
      </c>
      <c r="E48" s="2">
        <v>45866</v>
      </c>
      <c r="F48" s="4"/>
      <c r="G48">
        <v>2</v>
      </c>
      <c r="H48" t="s">
        <v>26</v>
      </c>
      <c r="I48">
        <v>12</v>
      </c>
      <c r="J48">
        <v>2150.9184</v>
      </c>
    </row>
    <row r="49" spans="1:10" outlineLevel="2" x14ac:dyDescent="0.3">
      <c r="A49" t="s">
        <v>9</v>
      </c>
      <c r="B49" t="s">
        <v>45</v>
      </c>
      <c r="C49" s="2">
        <v>45864</v>
      </c>
      <c r="D49" t="s">
        <v>46</v>
      </c>
      <c r="E49" s="2">
        <v>45866</v>
      </c>
      <c r="F49" s="4"/>
      <c r="G49">
        <v>2</v>
      </c>
      <c r="H49" t="s">
        <v>49</v>
      </c>
      <c r="I49">
        <v>4</v>
      </c>
      <c r="J49">
        <v>2996.8832000000002</v>
      </c>
    </row>
    <row r="50" spans="1:10" outlineLevel="2" x14ac:dyDescent="0.3">
      <c r="A50" t="s">
        <v>9</v>
      </c>
      <c r="B50" t="s">
        <v>45</v>
      </c>
      <c r="C50" s="2">
        <v>45864</v>
      </c>
      <c r="D50" t="s">
        <v>46</v>
      </c>
      <c r="E50" s="2">
        <v>45866</v>
      </c>
      <c r="F50" s="4"/>
      <c r="G50">
        <v>2</v>
      </c>
      <c r="H50" t="s">
        <v>16</v>
      </c>
      <c r="I50">
        <v>3</v>
      </c>
      <c r="J50">
        <v>4047.6576</v>
      </c>
    </row>
    <row r="51" spans="1:10" outlineLevel="2" x14ac:dyDescent="0.3">
      <c r="A51" t="s">
        <v>9</v>
      </c>
      <c r="B51" t="s">
        <v>45</v>
      </c>
      <c r="C51" s="2">
        <v>45864</v>
      </c>
      <c r="D51" t="s">
        <v>46</v>
      </c>
      <c r="E51" s="2">
        <v>45866</v>
      </c>
      <c r="F51" s="4"/>
      <c r="G51">
        <v>2</v>
      </c>
      <c r="H51" t="s">
        <v>27</v>
      </c>
      <c r="I51">
        <v>3</v>
      </c>
      <c r="J51">
        <v>4047.6576</v>
      </c>
    </row>
    <row r="52" spans="1:10" outlineLevel="2" x14ac:dyDescent="0.3">
      <c r="A52" t="s">
        <v>9</v>
      </c>
      <c r="B52" t="s">
        <v>45</v>
      </c>
      <c r="C52" s="2">
        <v>45864</v>
      </c>
      <c r="D52" t="s">
        <v>46</v>
      </c>
      <c r="E52" s="2">
        <v>45866</v>
      </c>
      <c r="F52" s="4"/>
      <c r="G52">
        <v>2</v>
      </c>
      <c r="H52" t="s">
        <v>50</v>
      </c>
      <c r="I52">
        <v>16</v>
      </c>
      <c r="J52">
        <v>1428</v>
      </c>
    </row>
    <row r="53" spans="1:10" outlineLevel="2" x14ac:dyDescent="0.3">
      <c r="A53" t="s">
        <v>9</v>
      </c>
      <c r="B53" t="s">
        <v>45</v>
      </c>
      <c r="C53" s="2">
        <v>45864</v>
      </c>
      <c r="D53" t="s">
        <v>46</v>
      </c>
      <c r="E53" s="2">
        <v>45866</v>
      </c>
      <c r="F53" s="4"/>
      <c r="G53">
        <v>2</v>
      </c>
      <c r="H53" t="s">
        <v>28</v>
      </c>
      <c r="I53">
        <v>48</v>
      </c>
      <c r="J53">
        <v>4284</v>
      </c>
    </row>
    <row r="54" spans="1:10" outlineLevel="2" x14ac:dyDescent="0.3">
      <c r="A54" t="s">
        <v>9</v>
      </c>
      <c r="B54" t="s">
        <v>45</v>
      </c>
      <c r="C54" s="2">
        <v>45864</v>
      </c>
      <c r="D54" t="s">
        <v>46</v>
      </c>
      <c r="E54" s="2">
        <v>45866</v>
      </c>
      <c r="F54" s="4"/>
      <c r="G54">
        <v>2</v>
      </c>
      <c r="H54" t="s">
        <v>29</v>
      </c>
      <c r="I54">
        <v>16</v>
      </c>
      <c r="J54">
        <v>1428</v>
      </c>
    </row>
    <row r="55" spans="1:10" outlineLevel="2" x14ac:dyDescent="0.3">
      <c r="A55" t="s">
        <v>9</v>
      </c>
      <c r="B55" t="s">
        <v>45</v>
      </c>
      <c r="C55" s="2">
        <v>45864</v>
      </c>
      <c r="D55" t="s">
        <v>46</v>
      </c>
      <c r="E55" s="2">
        <v>45866</v>
      </c>
      <c r="F55" s="4"/>
      <c r="G55">
        <v>2</v>
      </c>
      <c r="H55" t="s">
        <v>43</v>
      </c>
      <c r="I55">
        <v>24</v>
      </c>
      <c r="J55">
        <v>2880.4799929999999</v>
      </c>
    </row>
    <row r="56" spans="1:10" outlineLevel="2" x14ac:dyDescent="0.3">
      <c r="A56" t="s">
        <v>9</v>
      </c>
      <c r="B56" t="s">
        <v>45</v>
      </c>
      <c r="C56" s="2">
        <v>45864</v>
      </c>
      <c r="D56" t="s">
        <v>46</v>
      </c>
      <c r="E56" s="2">
        <v>45866</v>
      </c>
      <c r="F56" s="4"/>
      <c r="G56">
        <v>2</v>
      </c>
      <c r="H56" t="s">
        <v>18</v>
      </c>
      <c r="I56">
        <v>32</v>
      </c>
      <c r="J56">
        <v>5280</v>
      </c>
    </row>
    <row r="57" spans="1:10" outlineLevel="2" x14ac:dyDescent="0.3">
      <c r="A57" t="s">
        <v>9</v>
      </c>
      <c r="B57" t="s">
        <v>45</v>
      </c>
      <c r="C57" s="2">
        <v>45864</v>
      </c>
      <c r="D57" t="s">
        <v>46</v>
      </c>
      <c r="E57" s="2">
        <v>45866</v>
      </c>
      <c r="F57" s="4"/>
      <c r="G57">
        <v>2</v>
      </c>
      <c r="H57" t="s">
        <v>19</v>
      </c>
      <c r="I57">
        <v>32</v>
      </c>
      <c r="J57">
        <v>5280</v>
      </c>
    </row>
    <row r="58" spans="1:10" outlineLevel="2" x14ac:dyDescent="0.3">
      <c r="A58" t="s">
        <v>9</v>
      </c>
      <c r="B58" t="s">
        <v>45</v>
      </c>
      <c r="C58" s="2">
        <v>45864</v>
      </c>
      <c r="D58" t="s">
        <v>46</v>
      </c>
      <c r="E58" s="2">
        <v>45866</v>
      </c>
      <c r="F58" s="4"/>
      <c r="G58">
        <v>2</v>
      </c>
      <c r="H58" t="s">
        <v>20</v>
      </c>
      <c r="I58">
        <v>12</v>
      </c>
      <c r="J58">
        <v>1800.9695999999999</v>
      </c>
    </row>
    <row r="59" spans="1:10" outlineLevel="2" x14ac:dyDescent="0.3">
      <c r="A59" t="s">
        <v>9</v>
      </c>
      <c r="B59" t="s">
        <v>45</v>
      </c>
      <c r="C59" s="2">
        <v>45864</v>
      </c>
      <c r="D59" t="s">
        <v>46</v>
      </c>
      <c r="E59" s="2">
        <v>45866</v>
      </c>
      <c r="F59" s="4"/>
      <c r="G59">
        <v>2</v>
      </c>
      <c r="H59" t="s">
        <v>40</v>
      </c>
      <c r="I59">
        <v>9</v>
      </c>
      <c r="J59">
        <v>6408.0720000000001</v>
      </c>
    </row>
    <row r="60" spans="1:10" outlineLevel="2" x14ac:dyDescent="0.3">
      <c r="A60" t="s">
        <v>9</v>
      </c>
      <c r="B60" t="s">
        <v>51</v>
      </c>
      <c r="C60" s="2">
        <v>45882</v>
      </c>
      <c r="D60" t="s">
        <v>52</v>
      </c>
      <c r="E60" s="2">
        <v>45884</v>
      </c>
      <c r="F60" s="4"/>
      <c r="G60">
        <v>2</v>
      </c>
      <c r="H60" t="s">
        <v>53</v>
      </c>
      <c r="I60">
        <v>3</v>
      </c>
      <c r="J60">
        <v>3822</v>
      </c>
    </row>
    <row r="61" spans="1:10" outlineLevel="2" x14ac:dyDescent="0.3">
      <c r="A61" t="s">
        <v>9</v>
      </c>
      <c r="B61" t="s">
        <v>51</v>
      </c>
      <c r="C61" s="2">
        <v>45882</v>
      </c>
      <c r="D61" t="s">
        <v>52</v>
      </c>
      <c r="E61" s="2">
        <v>45884</v>
      </c>
      <c r="F61" s="4"/>
      <c r="G61">
        <v>2</v>
      </c>
      <c r="H61" t="s">
        <v>13</v>
      </c>
      <c r="I61">
        <v>16</v>
      </c>
      <c r="J61">
        <v>1188</v>
      </c>
    </row>
    <row r="62" spans="1:10" outlineLevel="2" x14ac:dyDescent="0.3">
      <c r="A62" t="s">
        <v>9</v>
      </c>
      <c r="B62" t="s">
        <v>51</v>
      </c>
      <c r="C62" s="2">
        <v>45882</v>
      </c>
      <c r="D62" t="s">
        <v>52</v>
      </c>
      <c r="E62" s="2">
        <v>45884</v>
      </c>
      <c r="F62" s="4"/>
      <c r="G62">
        <v>2</v>
      </c>
      <c r="H62" t="s">
        <v>48</v>
      </c>
      <c r="I62">
        <v>4</v>
      </c>
      <c r="J62">
        <v>3296.0000020000002</v>
      </c>
    </row>
    <row r="63" spans="1:10" outlineLevel="2" x14ac:dyDescent="0.3">
      <c r="A63" t="s">
        <v>9</v>
      </c>
      <c r="B63" t="s">
        <v>51</v>
      </c>
      <c r="C63" s="2">
        <v>45882</v>
      </c>
      <c r="D63" t="s">
        <v>52</v>
      </c>
      <c r="E63" s="2">
        <v>45884</v>
      </c>
      <c r="F63" s="4"/>
      <c r="G63">
        <v>2</v>
      </c>
      <c r="H63" t="s">
        <v>54</v>
      </c>
      <c r="I63">
        <v>4</v>
      </c>
      <c r="J63">
        <v>3296.8128000000002</v>
      </c>
    </row>
    <row r="64" spans="1:10" outlineLevel="2" x14ac:dyDescent="0.3">
      <c r="A64" t="s">
        <v>9</v>
      </c>
      <c r="B64" t="s">
        <v>51</v>
      </c>
      <c r="C64" s="2">
        <v>45882</v>
      </c>
      <c r="D64" t="s">
        <v>52</v>
      </c>
      <c r="E64" s="2">
        <v>45884</v>
      </c>
      <c r="F64" s="4"/>
      <c r="G64">
        <v>2</v>
      </c>
      <c r="H64" t="s">
        <v>15</v>
      </c>
      <c r="I64">
        <v>3</v>
      </c>
      <c r="J64">
        <v>4047.6576</v>
      </c>
    </row>
    <row r="65" spans="1:10" outlineLevel="2" x14ac:dyDescent="0.3">
      <c r="A65" t="s">
        <v>9</v>
      </c>
      <c r="B65" t="s">
        <v>51</v>
      </c>
      <c r="C65" s="2">
        <v>45882</v>
      </c>
      <c r="D65" t="s">
        <v>52</v>
      </c>
      <c r="E65" s="2">
        <v>45884</v>
      </c>
      <c r="F65" s="4"/>
      <c r="G65">
        <v>2</v>
      </c>
      <c r="H65" t="s">
        <v>17</v>
      </c>
      <c r="I65">
        <v>4</v>
      </c>
      <c r="J65">
        <v>2996.8832000000002</v>
      </c>
    </row>
    <row r="66" spans="1:10" outlineLevel="2" x14ac:dyDescent="0.3">
      <c r="A66" t="s">
        <v>9</v>
      </c>
      <c r="B66" t="s">
        <v>51</v>
      </c>
      <c r="C66" s="2">
        <v>45882</v>
      </c>
      <c r="D66" t="s">
        <v>52</v>
      </c>
      <c r="E66" s="2">
        <v>45884</v>
      </c>
      <c r="F66" s="4"/>
      <c r="G66">
        <v>2</v>
      </c>
      <c r="H66" t="s">
        <v>27</v>
      </c>
      <c r="I66">
        <v>3</v>
      </c>
      <c r="J66">
        <v>4047.6576</v>
      </c>
    </row>
    <row r="67" spans="1:10" outlineLevel="2" x14ac:dyDescent="0.3">
      <c r="A67" t="s">
        <v>9</v>
      </c>
      <c r="B67" t="s">
        <v>51</v>
      </c>
      <c r="C67" s="2">
        <v>45882</v>
      </c>
      <c r="D67" t="s">
        <v>52</v>
      </c>
      <c r="E67" s="2">
        <v>45884</v>
      </c>
      <c r="F67" s="4"/>
      <c r="G67">
        <v>2</v>
      </c>
      <c r="H67" t="s">
        <v>50</v>
      </c>
      <c r="I67">
        <v>48</v>
      </c>
      <c r="J67">
        <v>4284</v>
      </c>
    </row>
    <row r="68" spans="1:10" outlineLevel="2" x14ac:dyDescent="0.3">
      <c r="A68" t="s">
        <v>9</v>
      </c>
      <c r="B68" t="s">
        <v>51</v>
      </c>
      <c r="C68" s="2">
        <v>45882</v>
      </c>
      <c r="D68" t="s">
        <v>52</v>
      </c>
      <c r="E68" s="2">
        <v>45884</v>
      </c>
      <c r="F68" s="4"/>
      <c r="G68">
        <v>2</v>
      </c>
      <c r="H68" t="s">
        <v>28</v>
      </c>
      <c r="I68">
        <v>32</v>
      </c>
      <c r="J68">
        <v>2856</v>
      </c>
    </row>
    <row r="69" spans="1:10" outlineLevel="2" x14ac:dyDescent="0.3">
      <c r="A69" t="s">
        <v>9</v>
      </c>
      <c r="B69" t="s">
        <v>51</v>
      </c>
      <c r="C69" s="2">
        <v>45882</v>
      </c>
      <c r="D69" t="s">
        <v>52</v>
      </c>
      <c r="E69" s="2">
        <v>45884</v>
      </c>
      <c r="F69" s="4"/>
      <c r="G69">
        <v>2</v>
      </c>
      <c r="H69" t="s">
        <v>29</v>
      </c>
      <c r="I69">
        <v>48</v>
      </c>
      <c r="J69">
        <v>4284</v>
      </c>
    </row>
    <row r="70" spans="1:10" outlineLevel="2" x14ac:dyDescent="0.3">
      <c r="A70" t="s">
        <v>9</v>
      </c>
      <c r="B70" t="s">
        <v>51</v>
      </c>
      <c r="C70" s="2">
        <v>45882</v>
      </c>
      <c r="D70" t="s">
        <v>52</v>
      </c>
      <c r="E70" s="2">
        <v>45884</v>
      </c>
      <c r="F70" s="4"/>
      <c r="G70">
        <v>2</v>
      </c>
      <c r="H70" t="s">
        <v>55</v>
      </c>
      <c r="I70">
        <v>48</v>
      </c>
      <c r="J70">
        <v>5760.9599859999998</v>
      </c>
    </row>
    <row r="71" spans="1:10" outlineLevel="2" x14ac:dyDescent="0.3">
      <c r="A71" t="s">
        <v>9</v>
      </c>
      <c r="B71" t="s">
        <v>51</v>
      </c>
      <c r="C71" s="2">
        <v>45882</v>
      </c>
      <c r="D71" t="s">
        <v>52</v>
      </c>
      <c r="E71" s="2">
        <v>45884</v>
      </c>
      <c r="F71" s="4"/>
      <c r="G71">
        <v>2</v>
      </c>
      <c r="H71" t="s">
        <v>18</v>
      </c>
      <c r="I71">
        <v>48</v>
      </c>
      <c r="J71">
        <v>7920</v>
      </c>
    </row>
    <row r="72" spans="1:10" outlineLevel="2" x14ac:dyDescent="0.3">
      <c r="A72" t="s">
        <v>9</v>
      </c>
      <c r="B72" t="s">
        <v>51</v>
      </c>
      <c r="C72" s="2">
        <v>45882</v>
      </c>
      <c r="D72" t="s">
        <v>52</v>
      </c>
      <c r="E72" s="2">
        <v>45884</v>
      </c>
      <c r="F72" s="4"/>
      <c r="G72">
        <v>2</v>
      </c>
      <c r="H72" t="s">
        <v>56</v>
      </c>
      <c r="I72">
        <v>48</v>
      </c>
      <c r="J72">
        <v>4284</v>
      </c>
    </row>
    <row r="73" spans="1:10" outlineLevel="2" x14ac:dyDescent="0.3">
      <c r="A73" t="s">
        <v>9</v>
      </c>
      <c r="B73" t="s">
        <v>51</v>
      </c>
      <c r="C73" s="2">
        <v>45882</v>
      </c>
      <c r="D73" t="s">
        <v>52</v>
      </c>
      <c r="E73" s="2">
        <v>45884</v>
      </c>
      <c r="F73" s="4"/>
      <c r="G73">
        <v>2</v>
      </c>
      <c r="H73" t="s">
        <v>19</v>
      </c>
      <c r="I73">
        <v>48</v>
      </c>
      <c r="J73">
        <v>7920</v>
      </c>
    </row>
    <row r="74" spans="1:10" outlineLevel="2" x14ac:dyDescent="0.3">
      <c r="A74" t="s">
        <v>9</v>
      </c>
      <c r="B74" t="s">
        <v>51</v>
      </c>
      <c r="C74" s="2">
        <v>45882</v>
      </c>
      <c r="D74" t="s">
        <v>52</v>
      </c>
      <c r="E74" s="2">
        <v>45884</v>
      </c>
      <c r="F74" s="4"/>
      <c r="G74">
        <v>2</v>
      </c>
      <c r="H74" t="s">
        <v>57</v>
      </c>
      <c r="I74">
        <v>32</v>
      </c>
      <c r="J74">
        <v>2856</v>
      </c>
    </row>
    <row r="75" spans="1:10" outlineLevel="2" x14ac:dyDescent="0.3">
      <c r="A75" t="s">
        <v>9</v>
      </c>
      <c r="B75" t="s">
        <v>51</v>
      </c>
      <c r="C75" s="2">
        <v>45882</v>
      </c>
      <c r="D75" t="s">
        <v>52</v>
      </c>
      <c r="E75" s="2">
        <v>45884</v>
      </c>
      <c r="F75" s="4"/>
      <c r="G75">
        <v>2</v>
      </c>
      <c r="H75" t="s">
        <v>39</v>
      </c>
      <c r="I75">
        <v>16</v>
      </c>
      <c r="J75">
        <v>4201.0559999999996</v>
      </c>
    </row>
    <row r="76" spans="1:10" outlineLevel="2" x14ac:dyDescent="0.3">
      <c r="A76" t="s">
        <v>9</v>
      </c>
      <c r="B76" t="s">
        <v>51</v>
      </c>
      <c r="C76" s="2">
        <v>45882</v>
      </c>
      <c r="D76" t="s">
        <v>52</v>
      </c>
      <c r="E76" s="2">
        <v>45884</v>
      </c>
      <c r="F76" s="4"/>
      <c r="G76">
        <v>2</v>
      </c>
      <c r="H76" t="s">
        <v>44</v>
      </c>
      <c r="I76">
        <v>9</v>
      </c>
      <c r="J76">
        <v>6408.0720000000001</v>
      </c>
    </row>
    <row r="77" spans="1:10" outlineLevel="1" x14ac:dyDescent="0.3">
      <c r="C77" s="2"/>
      <c r="E77" s="2"/>
      <c r="F77" s="5">
        <v>2</v>
      </c>
      <c r="G77">
        <f>SUBTOTAL(9,G45:G76)</f>
        <v>64</v>
      </c>
    </row>
    <row r="78" spans="1:10" outlineLevel="2" x14ac:dyDescent="0.3">
      <c r="A78" t="s">
        <v>9</v>
      </c>
      <c r="B78" t="s">
        <v>58</v>
      </c>
      <c r="C78" s="2">
        <v>45912</v>
      </c>
      <c r="D78" t="s">
        <v>59</v>
      </c>
      <c r="E78" s="2">
        <v>45917</v>
      </c>
      <c r="F78" s="4"/>
      <c r="G78">
        <v>5</v>
      </c>
      <c r="H78" t="s">
        <v>23</v>
      </c>
      <c r="I78">
        <v>12</v>
      </c>
      <c r="J78">
        <v>8990.6496000000006</v>
      </c>
    </row>
    <row r="79" spans="1:10" outlineLevel="2" x14ac:dyDescent="0.3">
      <c r="A79" t="s">
        <v>9</v>
      </c>
      <c r="B79" t="s">
        <v>58</v>
      </c>
      <c r="C79" s="2">
        <v>45912</v>
      </c>
      <c r="D79" t="s">
        <v>59</v>
      </c>
      <c r="E79" s="2">
        <v>45917</v>
      </c>
      <c r="F79" s="4"/>
      <c r="G79">
        <v>5</v>
      </c>
      <c r="H79" t="s">
        <v>12</v>
      </c>
      <c r="I79">
        <v>3</v>
      </c>
      <c r="J79">
        <v>4405.7843999999996</v>
      </c>
    </row>
    <row r="80" spans="1:10" outlineLevel="2" x14ac:dyDescent="0.3">
      <c r="A80" t="s">
        <v>9</v>
      </c>
      <c r="B80" t="s">
        <v>58</v>
      </c>
      <c r="C80" s="2">
        <v>45912</v>
      </c>
      <c r="D80" t="s">
        <v>59</v>
      </c>
      <c r="E80" s="2">
        <v>45917</v>
      </c>
      <c r="F80" s="4"/>
      <c r="G80">
        <v>5</v>
      </c>
      <c r="H80" t="s">
        <v>53</v>
      </c>
      <c r="I80">
        <v>3</v>
      </c>
      <c r="J80">
        <v>3822</v>
      </c>
    </row>
    <row r="81" spans="1:10" outlineLevel="2" x14ac:dyDescent="0.3">
      <c r="A81" t="s">
        <v>9</v>
      </c>
      <c r="B81" t="s">
        <v>58</v>
      </c>
      <c r="C81" s="2">
        <v>45912</v>
      </c>
      <c r="D81" t="s">
        <v>59</v>
      </c>
      <c r="E81" s="2">
        <v>45917</v>
      </c>
      <c r="F81" s="4"/>
      <c r="G81">
        <v>5</v>
      </c>
      <c r="H81" t="s">
        <v>15</v>
      </c>
      <c r="I81">
        <v>6</v>
      </c>
      <c r="J81">
        <v>8095.3152</v>
      </c>
    </row>
    <row r="82" spans="1:10" outlineLevel="2" x14ac:dyDescent="0.3">
      <c r="A82" t="s">
        <v>9</v>
      </c>
      <c r="B82" t="s">
        <v>58</v>
      </c>
      <c r="C82" s="2">
        <v>45912</v>
      </c>
      <c r="D82" t="s">
        <v>59</v>
      </c>
      <c r="E82" s="2">
        <v>45917</v>
      </c>
      <c r="F82" s="4"/>
      <c r="G82">
        <v>5</v>
      </c>
      <c r="H82" t="s">
        <v>16</v>
      </c>
      <c r="I82">
        <v>3</v>
      </c>
      <c r="J82">
        <v>4047.6576</v>
      </c>
    </row>
    <row r="83" spans="1:10" outlineLevel="2" x14ac:dyDescent="0.3">
      <c r="A83" t="s">
        <v>9</v>
      </c>
      <c r="B83" t="s">
        <v>58</v>
      </c>
      <c r="C83" s="2">
        <v>45912</v>
      </c>
      <c r="D83" t="s">
        <v>59</v>
      </c>
      <c r="E83" s="2">
        <v>45917</v>
      </c>
      <c r="F83" s="4"/>
      <c r="G83">
        <v>5</v>
      </c>
      <c r="H83" t="s">
        <v>17</v>
      </c>
      <c r="I83">
        <v>4</v>
      </c>
      <c r="J83">
        <v>2996.8832000000002</v>
      </c>
    </row>
    <row r="84" spans="1:10" outlineLevel="2" x14ac:dyDescent="0.3">
      <c r="A84" t="s">
        <v>9</v>
      </c>
      <c r="B84" t="s">
        <v>58</v>
      </c>
      <c r="C84" s="2">
        <v>45912</v>
      </c>
      <c r="D84" t="s">
        <v>59</v>
      </c>
      <c r="E84" s="2">
        <v>45917</v>
      </c>
      <c r="F84" s="4"/>
      <c r="G84">
        <v>5</v>
      </c>
      <c r="H84" t="s">
        <v>27</v>
      </c>
      <c r="I84">
        <v>3</v>
      </c>
      <c r="J84">
        <v>4047.6576</v>
      </c>
    </row>
    <row r="85" spans="1:10" outlineLevel="2" x14ac:dyDescent="0.3">
      <c r="A85" t="s">
        <v>9</v>
      </c>
      <c r="B85" t="s">
        <v>58</v>
      </c>
      <c r="C85" s="2">
        <v>45912</v>
      </c>
      <c r="D85" t="s">
        <v>59</v>
      </c>
      <c r="E85" s="2">
        <v>45917</v>
      </c>
      <c r="F85" s="4"/>
      <c r="G85">
        <v>5</v>
      </c>
      <c r="H85" t="s">
        <v>50</v>
      </c>
      <c r="I85">
        <v>32</v>
      </c>
      <c r="J85">
        <v>2856</v>
      </c>
    </row>
    <row r="86" spans="1:10" outlineLevel="2" x14ac:dyDescent="0.3">
      <c r="A86" t="s">
        <v>9</v>
      </c>
      <c r="B86" t="s">
        <v>58</v>
      </c>
      <c r="C86" s="2">
        <v>45912</v>
      </c>
      <c r="D86" t="s">
        <v>59</v>
      </c>
      <c r="E86" s="2">
        <v>45917</v>
      </c>
      <c r="F86" s="4"/>
      <c r="G86">
        <v>5</v>
      </c>
      <c r="H86" t="s">
        <v>28</v>
      </c>
      <c r="I86">
        <v>32</v>
      </c>
      <c r="J86">
        <v>2856</v>
      </c>
    </row>
    <row r="87" spans="1:10" outlineLevel="2" x14ac:dyDescent="0.3">
      <c r="A87" t="s">
        <v>9</v>
      </c>
      <c r="B87" t="s">
        <v>58</v>
      </c>
      <c r="C87" s="2">
        <v>45912</v>
      </c>
      <c r="D87" t="s">
        <v>59</v>
      </c>
      <c r="E87" s="2">
        <v>45917</v>
      </c>
      <c r="F87" s="4"/>
      <c r="G87">
        <v>5</v>
      </c>
      <c r="H87" t="s">
        <v>43</v>
      </c>
      <c r="I87">
        <v>24</v>
      </c>
      <c r="J87">
        <v>2880.4799929999999</v>
      </c>
    </row>
    <row r="88" spans="1:10" outlineLevel="2" x14ac:dyDescent="0.3">
      <c r="A88" t="s">
        <v>9</v>
      </c>
      <c r="B88" t="s">
        <v>58</v>
      </c>
      <c r="C88" s="2">
        <v>45912</v>
      </c>
      <c r="D88" t="s">
        <v>59</v>
      </c>
      <c r="E88" s="2">
        <v>45917</v>
      </c>
      <c r="F88" s="4"/>
      <c r="G88">
        <v>5</v>
      </c>
      <c r="H88" t="s">
        <v>18</v>
      </c>
      <c r="I88">
        <v>80</v>
      </c>
      <c r="J88">
        <v>13200</v>
      </c>
    </row>
    <row r="89" spans="1:10" outlineLevel="2" x14ac:dyDescent="0.3">
      <c r="A89" t="s">
        <v>9</v>
      </c>
      <c r="B89" t="s">
        <v>58</v>
      </c>
      <c r="C89" s="2">
        <v>45912</v>
      </c>
      <c r="D89" t="s">
        <v>59</v>
      </c>
      <c r="E89" s="2">
        <v>45917</v>
      </c>
      <c r="F89" s="4"/>
      <c r="G89">
        <v>5</v>
      </c>
      <c r="H89" t="s">
        <v>60</v>
      </c>
      <c r="I89">
        <v>48</v>
      </c>
      <c r="J89">
        <v>5760.9599859999998</v>
      </c>
    </row>
    <row r="90" spans="1:10" outlineLevel="2" x14ac:dyDescent="0.3">
      <c r="A90" t="s">
        <v>9</v>
      </c>
      <c r="B90" t="s">
        <v>58</v>
      </c>
      <c r="C90" s="2">
        <v>45912</v>
      </c>
      <c r="D90" t="s">
        <v>59</v>
      </c>
      <c r="E90" s="2">
        <v>45917</v>
      </c>
      <c r="F90" s="4"/>
      <c r="G90">
        <v>5</v>
      </c>
      <c r="H90" t="s">
        <v>61</v>
      </c>
      <c r="I90">
        <v>20</v>
      </c>
      <c r="J90">
        <v>4050.000012</v>
      </c>
    </row>
    <row r="91" spans="1:10" outlineLevel="2" x14ac:dyDescent="0.3">
      <c r="A91" t="s">
        <v>9</v>
      </c>
      <c r="B91" t="s">
        <v>58</v>
      </c>
      <c r="C91" s="2">
        <v>45912</v>
      </c>
      <c r="D91" t="s">
        <v>59</v>
      </c>
      <c r="E91" s="2">
        <v>45917</v>
      </c>
      <c r="F91" s="4"/>
      <c r="G91">
        <v>5</v>
      </c>
      <c r="H91" t="s">
        <v>62</v>
      </c>
      <c r="I91">
        <v>12</v>
      </c>
      <c r="J91">
        <v>1800.9695999999999</v>
      </c>
    </row>
    <row r="92" spans="1:10" outlineLevel="2" x14ac:dyDescent="0.3">
      <c r="A92" t="s">
        <v>9</v>
      </c>
      <c r="B92" t="s">
        <v>58</v>
      </c>
      <c r="C92" s="2">
        <v>45912</v>
      </c>
      <c r="D92" t="s">
        <v>59</v>
      </c>
      <c r="E92" s="2">
        <v>45917</v>
      </c>
      <c r="F92" s="4"/>
      <c r="G92">
        <v>5</v>
      </c>
      <c r="H92" t="s">
        <v>56</v>
      </c>
      <c r="I92">
        <v>32</v>
      </c>
      <c r="J92">
        <v>2856</v>
      </c>
    </row>
    <row r="93" spans="1:10" outlineLevel="2" x14ac:dyDescent="0.3">
      <c r="A93" t="s">
        <v>9</v>
      </c>
      <c r="B93" t="s">
        <v>58</v>
      </c>
      <c r="C93" s="2">
        <v>45912</v>
      </c>
      <c r="D93" t="s">
        <v>59</v>
      </c>
      <c r="E93" s="2">
        <v>45917</v>
      </c>
      <c r="F93" s="4"/>
      <c r="G93">
        <v>5</v>
      </c>
      <c r="H93" t="s">
        <v>19</v>
      </c>
      <c r="I93">
        <v>80</v>
      </c>
      <c r="J93">
        <v>13200</v>
      </c>
    </row>
    <row r="94" spans="1:10" outlineLevel="2" x14ac:dyDescent="0.3">
      <c r="A94" t="s">
        <v>9</v>
      </c>
      <c r="B94" t="s">
        <v>58</v>
      </c>
      <c r="C94" s="2">
        <v>45912</v>
      </c>
      <c r="D94" t="s">
        <v>59</v>
      </c>
      <c r="E94" s="2">
        <v>45917</v>
      </c>
      <c r="F94" s="4"/>
      <c r="G94">
        <v>5</v>
      </c>
      <c r="H94" t="s">
        <v>57</v>
      </c>
      <c r="I94">
        <v>32</v>
      </c>
      <c r="J94">
        <v>2856</v>
      </c>
    </row>
    <row r="95" spans="1:10" outlineLevel="2" x14ac:dyDescent="0.3">
      <c r="A95" t="s">
        <v>9</v>
      </c>
      <c r="B95" t="s">
        <v>58</v>
      </c>
      <c r="C95" s="2">
        <v>45912</v>
      </c>
      <c r="D95" t="s">
        <v>59</v>
      </c>
      <c r="E95" s="2">
        <v>45917</v>
      </c>
      <c r="F95" s="4"/>
      <c r="G95">
        <v>5</v>
      </c>
      <c r="H95" t="s">
        <v>40</v>
      </c>
      <c r="I95">
        <v>9</v>
      </c>
      <c r="J95">
        <v>4718.2536</v>
      </c>
    </row>
    <row r="96" spans="1:10" outlineLevel="1" x14ac:dyDescent="0.3">
      <c r="C96" s="2"/>
      <c r="E96" s="2"/>
      <c r="F96" s="5">
        <v>5</v>
      </c>
      <c r="G96">
        <f>SUBTOTAL(9,G78:G95)</f>
        <v>90</v>
      </c>
    </row>
    <row r="97" spans="1:10" outlineLevel="2" x14ac:dyDescent="0.3">
      <c r="A97" t="s">
        <v>9</v>
      </c>
      <c r="B97" t="s">
        <v>63</v>
      </c>
      <c r="C97" s="2">
        <v>45965</v>
      </c>
      <c r="D97" t="s">
        <v>64</v>
      </c>
      <c r="E97" s="2">
        <v>45973</v>
      </c>
      <c r="F97" s="4"/>
      <c r="G97">
        <v>8</v>
      </c>
      <c r="H97" t="s">
        <v>23</v>
      </c>
      <c r="I97">
        <v>4</v>
      </c>
      <c r="J97">
        <v>2996.8832000000002</v>
      </c>
    </row>
    <row r="98" spans="1:10" outlineLevel="2" x14ac:dyDescent="0.3">
      <c r="A98" t="s">
        <v>9</v>
      </c>
      <c r="B98" t="s">
        <v>63</v>
      </c>
      <c r="C98" s="2">
        <v>45965</v>
      </c>
      <c r="D98" t="s">
        <v>64</v>
      </c>
      <c r="E98" s="2">
        <v>45973</v>
      </c>
      <c r="F98" s="4"/>
      <c r="G98">
        <v>8</v>
      </c>
      <c r="H98" t="s">
        <v>24</v>
      </c>
      <c r="I98">
        <v>6</v>
      </c>
      <c r="J98">
        <v>8095.3152</v>
      </c>
    </row>
    <row r="99" spans="1:10" outlineLevel="2" x14ac:dyDescent="0.3">
      <c r="A99" t="s">
        <v>9</v>
      </c>
      <c r="B99" t="s">
        <v>63</v>
      </c>
      <c r="C99" s="2">
        <v>45965</v>
      </c>
      <c r="D99" t="s">
        <v>64</v>
      </c>
      <c r="E99" s="2">
        <v>45973</v>
      </c>
      <c r="F99" s="4"/>
      <c r="G99">
        <v>8</v>
      </c>
      <c r="H99" t="s">
        <v>25</v>
      </c>
      <c r="I99">
        <v>32</v>
      </c>
      <c r="J99">
        <v>2376</v>
      </c>
    </row>
    <row r="100" spans="1:10" outlineLevel="2" x14ac:dyDescent="0.3">
      <c r="A100" t="s">
        <v>9</v>
      </c>
      <c r="B100" t="s">
        <v>63</v>
      </c>
      <c r="C100" s="2">
        <v>45965</v>
      </c>
      <c r="D100" t="s">
        <v>64</v>
      </c>
      <c r="E100" s="2">
        <v>45973</v>
      </c>
      <c r="F100" s="4"/>
      <c r="G100">
        <v>8</v>
      </c>
      <c r="H100" t="s">
        <v>48</v>
      </c>
      <c r="I100">
        <v>4</v>
      </c>
      <c r="J100">
        <v>3296.0000020000002</v>
      </c>
    </row>
    <row r="101" spans="1:10" outlineLevel="2" x14ac:dyDescent="0.3">
      <c r="A101" t="s">
        <v>9</v>
      </c>
      <c r="B101" t="s">
        <v>63</v>
      </c>
      <c r="C101" s="2">
        <v>45965</v>
      </c>
      <c r="D101" t="s">
        <v>64</v>
      </c>
      <c r="E101" s="2">
        <v>45973</v>
      </c>
      <c r="F101" s="4"/>
      <c r="G101">
        <v>8</v>
      </c>
      <c r="H101" t="s">
        <v>16</v>
      </c>
      <c r="I101">
        <v>3</v>
      </c>
      <c r="J101">
        <v>4047.6576</v>
      </c>
    </row>
    <row r="102" spans="1:10" outlineLevel="2" x14ac:dyDescent="0.3">
      <c r="A102" t="s">
        <v>9</v>
      </c>
      <c r="B102" t="s">
        <v>63</v>
      </c>
      <c r="C102" s="2">
        <v>45965</v>
      </c>
      <c r="D102" t="s">
        <v>64</v>
      </c>
      <c r="E102" s="2">
        <v>45973</v>
      </c>
      <c r="F102" s="4"/>
      <c r="G102">
        <v>8</v>
      </c>
      <c r="H102" t="s">
        <v>17</v>
      </c>
      <c r="I102">
        <v>4</v>
      </c>
      <c r="J102">
        <v>2996.8832000000002</v>
      </c>
    </row>
    <row r="103" spans="1:10" outlineLevel="2" x14ac:dyDescent="0.3">
      <c r="A103" t="s">
        <v>9</v>
      </c>
      <c r="B103" t="s">
        <v>63</v>
      </c>
      <c r="C103" s="2">
        <v>45965</v>
      </c>
      <c r="D103" t="s">
        <v>64</v>
      </c>
      <c r="E103" s="2">
        <v>45973</v>
      </c>
      <c r="F103" s="4"/>
      <c r="G103">
        <v>8</v>
      </c>
      <c r="H103" t="s">
        <v>27</v>
      </c>
      <c r="I103">
        <v>9</v>
      </c>
      <c r="J103">
        <v>12142.9728</v>
      </c>
    </row>
    <row r="104" spans="1:10" outlineLevel="2" x14ac:dyDescent="0.3">
      <c r="A104" t="s">
        <v>9</v>
      </c>
      <c r="B104" t="s">
        <v>63</v>
      </c>
      <c r="C104" s="2">
        <v>45965</v>
      </c>
      <c r="D104" t="s">
        <v>64</v>
      </c>
      <c r="E104" s="2">
        <v>45973</v>
      </c>
      <c r="F104" s="4"/>
      <c r="G104">
        <v>8</v>
      </c>
      <c r="H104" t="s">
        <v>38</v>
      </c>
      <c r="I104">
        <v>16</v>
      </c>
      <c r="J104">
        <v>3587.8335999999999</v>
      </c>
    </row>
    <row r="105" spans="1:10" outlineLevel="2" x14ac:dyDescent="0.3">
      <c r="A105" t="s">
        <v>9</v>
      </c>
      <c r="B105" t="s">
        <v>63</v>
      </c>
      <c r="C105" s="2">
        <v>45965</v>
      </c>
      <c r="D105" t="s">
        <v>64</v>
      </c>
      <c r="E105" s="2">
        <v>45973</v>
      </c>
      <c r="F105" s="4"/>
      <c r="G105">
        <v>8</v>
      </c>
      <c r="H105" t="s">
        <v>29</v>
      </c>
      <c r="I105">
        <v>32</v>
      </c>
      <c r="J105">
        <v>2856</v>
      </c>
    </row>
    <row r="106" spans="1:10" outlineLevel="2" x14ac:dyDescent="0.3">
      <c r="A106" t="s">
        <v>9</v>
      </c>
      <c r="B106" t="s">
        <v>63</v>
      </c>
      <c r="C106" s="2">
        <v>45965</v>
      </c>
      <c r="D106" t="s">
        <v>64</v>
      </c>
      <c r="E106" s="2">
        <v>45973</v>
      </c>
      <c r="F106" s="4"/>
      <c r="G106">
        <v>8</v>
      </c>
      <c r="H106" t="s">
        <v>18</v>
      </c>
      <c r="I106">
        <v>32</v>
      </c>
      <c r="J106">
        <v>5280</v>
      </c>
    </row>
    <row r="107" spans="1:10" outlineLevel="2" x14ac:dyDescent="0.3">
      <c r="A107" t="s">
        <v>9</v>
      </c>
      <c r="B107" t="s">
        <v>63</v>
      </c>
      <c r="C107" s="2">
        <v>45965</v>
      </c>
      <c r="D107" t="s">
        <v>64</v>
      </c>
      <c r="E107" s="2">
        <v>45973</v>
      </c>
      <c r="F107" s="4"/>
      <c r="G107">
        <v>8</v>
      </c>
      <c r="H107" t="s">
        <v>19</v>
      </c>
      <c r="I107">
        <v>48</v>
      </c>
      <c r="J107">
        <v>7920</v>
      </c>
    </row>
    <row r="108" spans="1:10" outlineLevel="2" x14ac:dyDescent="0.3">
      <c r="A108" t="s">
        <v>9</v>
      </c>
      <c r="B108" t="s">
        <v>63</v>
      </c>
      <c r="C108" s="2">
        <v>45965</v>
      </c>
      <c r="D108" t="s">
        <v>64</v>
      </c>
      <c r="E108" s="2">
        <v>45973</v>
      </c>
      <c r="F108" s="4"/>
      <c r="G108">
        <v>8</v>
      </c>
      <c r="H108" t="s">
        <v>20</v>
      </c>
      <c r="I108">
        <v>12</v>
      </c>
      <c r="J108">
        <v>1800.9695999999999</v>
      </c>
    </row>
    <row r="109" spans="1:10" outlineLevel="2" x14ac:dyDescent="0.3">
      <c r="A109" t="s">
        <v>9</v>
      </c>
      <c r="B109" t="s">
        <v>63</v>
      </c>
      <c r="C109" s="2">
        <v>45965</v>
      </c>
      <c r="D109" t="s">
        <v>64</v>
      </c>
      <c r="E109" s="2">
        <v>45973</v>
      </c>
      <c r="F109" s="4"/>
      <c r="G109">
        <v>8</v>
      </c>
      <c r="H109" t="s">
        <v>39</v>
      </c>
      <c r="I109">
        <v>16</v>
      </c>
      <c r="J109">
        <v>3587.8335999999999</v>
      </c>
    </row>
    <row r="110" spans="1:10" outlineLevel="2" x14ac:dyDescent="0.3">
      <c r="A110" t="s">
        <v>9</v>
      </c>
      <c r="B110" t="s">
        <v>63</v>
      </c>
      <c r="C110" s="2">
        <v>45965</v>
      </c>
      <c r="D110" t="s">
        <v>64</v>
      </c>
      <c r="E110" s="2">
        <v>45973</v>
      </c>
      <c r="F110" s="4"/>
      <c r="G110">
        <v>8</v>
      </c>
      <c r="H110" t="s">
        <v>30</v>
      </c>
      <c r="I110">
        <v>16</v>
      </c>
      <c r="J110">
        <v>3587.8335999999999</v>
      </c>
    </row>
    <row r="111" spans="1:10" outlineLevel="2" x14ac:dyDescent="0.3">
      <c r="A111" t="s">
        <v>9</v>
      </c>
      <c r="B111" t="s">
        <v>63</v>
      </c>
      <c r="C111" s="2">
        <v>45965</v>
      </c>
      <c r="D111" t="s">
        <v>64</v>
      </c>
      <c r="E111" s="2">
        <v>45973</v>
      </c>
      <c r="F111" s="4"/>
      <c r="G111">
        <v>8</v>
      </c>
      <c r="H111" t="s">
        <v>44</v>
      </c>
      <c r="I111">
        <v>9</v>
      </c>
      <c r="J111">
        <v>4718.2536</v>
      </c>
    </row>
    <row r="112" spans="1:10" outlineLevel="1" x14ac:dyDescent="0.3">
      <c r="C112" s="2"/>
      <c r="E112" s="2"/>
      <c r="F112" s="5">
        <v>8</v>
      </c>
      <c r="G112">
        <f>SUBTOTAL(9,G97:G111)</f>
        <v>120</v>
      </c>
    </row>
    <row r="113" spans="1:10" outlineLevel="2" x14ac:dyDescent="0.3">
      <c r="A113" t="s">
        <v>9</v>
      </c>
      <c r="B113" t="s">
        <v>65</v>
      </c>
      <c r="C113" s="2">
        <v>45975</v>
      </c>
      <c r="D113" t="s">
        <v>66</v>
      </c>
      <c r="E113" s="2">
        <v>45980</v>
      </c>
      <c r="F113" s="4"/>
      <c r="G113">
        <v>5</v>
      </c>
      <c r="H113" t="s">
        <v>23</v>
      </c>
      <c r="I113">
        <v>4</v>
      </c>
      <c r="J113">
        <v>2996.8832000000002</v>
      </c>
    </row>
    <row r="114" spans="1:10" outlineLevel="2" x14ac:dyDescent="0.3">
      <c r="A114" t="s">
        <v>9</v>
      </c>
      <c r="B114" t="s">
        <v>65</v>
      </c>
      <c r="C114" s="2">
        <v>45975</v>
      </c>
      <c r="D114" t="s">
        <v>66</v>
      </c>
      <c r="E114" s="2">
        <v>45980</v>
      </c>
      <c r="F114" s="4"/>
      <c r="G114">
        <v>5</v>
      </c>
      <c r="H114" t="s">
        <v>12</v>
      </c>
      <c r="I114">
        <v>3</v>
      </c>
      <c r="J114">
        <v>4405.7843999999996</v>
      </c>
    </row>
    <row r="115" spans="1:10" outlineLevel="2" x14ac:dyDescent="0.3">
      <c r="A115" t="s">
        <v>9</v>
      </c>
      <c r="B115" t="s">
        <v>65</v>
      </c>
      <c r="C115" s="2">
        <v>45975</v>
      </c>
      <c r="D115" t="s">
        <v>66</v>
      </c>
      <c r="E115" s="2">
        <v>45980</v>
      </c>
      <c r="F115" s="4"/>
      <c r="G115">
        <v>5</v>
      </c>
      <c r="H115" t="s">
        <v>53</v>
      </c>
      <c r="I115">
        <v>6</v>
      </c>
      <c r="J115">
        <v>6745.080003</v>
      </c>
    </row>
    <row r="116" spans="1:10" outlineLevel="2" x14ac:dyDescent="0.3">
      <c r="A116" t="s">
        <v>9</v>
      </c>
      <c r="B116" t="s">
        <v>65</v>
      </c>
      <c r="C116" s="2">
        <v>45975</v>
      </c>
      <c r="D116" t="s">
        <v>66</v>
      </c>
      <c r="E116" s="2">
        <v>45980</v>
      </c>
      <c r="F116" s="4"/>
      <c r="G116">
        <v>5</v>
      </c>
      <c r="H116" t="s">
        <v>28</v>
      </c>
      <c r="I116">
        <v>16</v>
      </c>
      <c r="J116">
        <v>1428</v>
      </c>
    </row>
    <row r="117" spans="1:10" outlineLevel="2" x14ac:dyDescent="0.3">
      <c r="A117" t="s">
        <v>9</v>
      </c>
      <c r="B117" t="s">
        <v>65</v>
      </c>
      <c r="C117" s="2">
        <v>45975</v>
      </c>
      <c r="D117" t="s">
        <v>66</v>
      </c>
      <c r="E117" s="2">
        <v>45980</v>
      </c>
      <c r="F117" s="4"/>
      <c r="G117">
        <v>5</v>
      </c>
      <c r="H117" t="s">
        <v>29</v>
      </c>
      <c r="I117">
        <v>16</v>
      </c>
      <c r="J117">
        <v>1428</v>
      </c>
    </row>
    <row r="118" spans="1:10" outlineLevel="2" x14ac:dyDescent="0.3">
      <c r="A118" t="s">
        <v>9</v>
      </c>
      <c r="B118" t="s">
        <v>65</v>
      </c>
      <c r="C118" s="2">
        <v>45975</v>
      </c>
      <c r="D118" t="s">
        <v>66</v>
      </c>
      <c r="E118" s="2">
        <v>45980</v>
      </c>
      <c r="F118" s="4"/>
      <c r="G118">
        <v>5</v>
      </c>
      <c r="H118" t="s">
        <v>43</v>
      </c>
      <c r="I118">
        <v>24</v>
      </c>
      <c r="J118">
        <v>2880.4799929999999</v>
      </c>
    </row>
    <row r="119" spans="1:10" outlineLevel="2" x14ac:dyDescent="0.3">
      <c r="A119" t="s">
        <v>9</v>
      </c>
      <c r="B119" t="s">
        <v>65</v>
      </c>
      <c r="C119" s="2">
        <v>45975</v>
      </c>
      <c r="D119" t="s">
        <v>66</v>
      </c>
      <c r="E119" s="2">
        <v>45980</v>
      </c>
      <c r="F119" s="4"/>
      <c r="G119">
        <v>5</v>
      </c>
      <c r="H119" t="s">
        <v>18</v>
      </c>
      <c r="I119">
        <v>16</v>
      </c>
      <c r="J119">
        <v>2640</v>
      </c>
    </row>
    <row r="120" spans="1:10" outlineLevel="2" x14ac:dyDescent="0.3">
      <c r="A120" t="s">
        <v>9</v>
      </c>
      <c r="B120" t="s">
        <v>65</v>
      </c>
      <c r="C120" s="2">
        <v>45975</v>
      </c>
      <c r="D120" t="s">
        <v>66</v>
      </c>
      <c r="E120" s="2">
        <v>45980</v>
      </c>
      <c r="F120" s="4"/>
      <c r="G120">
        <v>5</v>
      </c>
      <c r="H120" t="s">
        <v>19</v>
      </c>
      <c r="I120">
        <v>16</v>
      </c>
      <c r="J120">
        <v>2640</v>
      </c>
    </row>
    <row r="121" spans="1:10" outlineLevel="2" x14ac:dyDescent="0.3">
      <c r="A121" t="s">
        <v>9</v>
      </c>
      <c r="B121" t="s">
        <v>67</v>
      </c>
      <c r="C121" s="2">
        <v>45987</v>
      </c>
      <c r="D121" t="s">
        <v>68</v>
      </c>
      <c r="E121" s="2">
        <v>45992</v>
      </c>
      <c r="F121" s="4"/>
      <c r="G121">
        <v>5</v>
      </c>
      <c r="H121" t="s">
        <v>13</v>
      </c>
      <c r="I121">
        <v>16</v>
      </c>
      <c r="J121">
        <v>1188</v>
      </c>
    </row>
    <row r="122" spans="1:10" outlineLevel="2" x14ac:dyDescent="0.3">
      <c r="A122" t="s">
        <v>9</v>
      </c>
      <c r="B122" t="s">
        <v>67</v>
      </c>
      <c r="C122" s="2">
        <v>45987</v>
      </c>
      <c r="D122" t="s">
        <v>68</v>
      </c>
      <c r="E122" s="2">
        <v>45992</v>
      </c>
      <c r="F122" s="4"/>
      <c r="G122">
        <v>5</v>
      </c>
      <c r="H122" t="s">
        <v>69</v>
      </c>
      <c r="I122">
        <v>8</v>
      </c>
      <c r="J122">
        <v>1320</v>
      </c>
    </row>
    <row r="123" spans="1:10" outlineLevel="2" x14ac:dyDescent="0.3">
      <c r="A123" t="s">
        <v>9</v>
      </c>
      <c r="B123" t="s">
        <v>67</v>
      </c>
      <c r="C123" s="2">
        <v>45987</v>
      </c>
      <c r="D123" t="s">
        <v>68</v>
      </c>
      <c r="E123" s="2">
        <v>45992</v>
      </c>
      <c r="F123" s="4"/>
      <c r="G123">
        <v>5</v>
      </c>
      <c r="H123" t="s">
        <v>70</v>
      </c>
      <c r="I123">
        <v>8</v>
      </c>
      <c r="J123">
        <v>1320</v>
      </c>
    </row>
    <row r="124" spans="1:10" outlineLevel="2" x14ac:dyDescent="0.3">
      <c r="A124" t="s">
        <v>9</v>
      </c>
      <c r="B124" t="s">
        <v>67</v>
      </c>
      <c r="C124" s="2">
        <v>45987</v>
      </c>
      <c r="D124" t="s">
        <v>68</v>
      </c>
      <c r="E124" s="2">
        <v>45992</v>
      </c>
      <c r="F124" s="4"/>
      <c r="G124">
        <v>5</v>
      </c>
      <c r="H124" t="s">
        <v>38</v>
      </c>
      <c r="I124">
        <v>16</v>
      </c>
      <c r="J124">
        <v>3587.8335999999999</v>
      </c>
    </row>
    <row r="125" spans="1:10" outlineLevel="2" x14ac:dyDescent="0.3">
      <c r="A125" t="s">
        <v>9</v>
      </c>
      <c r="B125" t="s">
        <v>67</v>
      </c>
      <c r="C125" s="2">
        <v>45987</v>
      </c>
      <c r="D125" t="s">
        <v>68</v>
      </c>
      <c r="E125" s="2">
        <v>45992</v>
      </c>
      <c r="F125" s="4"/>
      <c r="G125">
        <v>5</v>
      </c>
      <c r="H125" t="s">
        <v>29</v>
      </c>
      <c r="I125">
        <v>16</v>
      </c>
      <c r="J125">
        <v>1428</v>
      </c>
    </row>
    <row r="126" spans="1:10" outlineLevel="2" x14ac:dyDescent="0.3">
      <c r="A126" t="s">
        <v>9</v>
      </c>
      <c r="B126" t="s">
        <v>67</v>
      </c>
      <c r="C126" s="2">
        <v>45987</v>
      </c>
      <c r="D126" t="s">
        <v>68</v>
      </c>
      <c r="E126" s="2">
        <v>45992</v>
      </c>
      <c r="F126" s="4"/>
      <c r="G126">
        <v>5</v>
      </c>
      <c r="H126" t="s">
        <v>18</v>
      </c>
      <c r="I126">
        <v>32</v>
      </c>
      <c r="J126">
        <v>5280</v>
      </c>
    </row>
    <row r="127" spans="1:10" outlineLevel="2" x14ac:dyDescent="0.3">
      <c r="A127" t="s">
        <v>9</v>
      </c>
      <c r="B127" t="s">
        <v>67</v>
      </c>
      <c r="C127" s="2">
        <v>45987</v>
      </c>
      <c r="D127" t="s">
        <v>68</v>
      </c>
      <c r="E127" s="2">
        <v>45992</v>
      </c>
      <c r="F127" s="4"/>
      <c r="G127">
        <v>5</v>
      </c>
      <c r="H127" t="s">
        <v>61</v>
      </c>
      <c r="I127">
        <v>20</v>
      </c>
      <c r="J127">
        <v>4050.000012</v>
      </c>
    </row>
    <row r="128" spans="1:10" outlineLevel="2" x14ac:dyDescent="0.3">
      <c r="A128" t="s">
        <v>9</v>
      </c>
      <c r="B128" t="s">
        <v>67</v>
      </c>
      <c r="C128" s="2">
        <v>45987</v>
      </c>
      <c r="D128" t="s">
        <v>68</v>
      </c>
      <c r="E128" s="2">
        <v>45992</v>
      </c>
      <c r="F128" s="4"/>
      <c r="G128">
        <v>5</v>
      </c>
      <c r="H128" t="s">
        <v>62</v>
      </c>
      <c r="I128">
        <v>12</v>
      </c>
      <c r="J128">
        <v>1800.9695999999999</v>
      </c>
    </row>
    <row r="129" spans="1:10" outlineLevel="2" x14ac:dyDescent="0.3">
      <c r="A129" t="s">
        <v>9</v>
      </c>
      <c r="B129" t="s">
        <v>67</v>
      </c>
      <c r="C129" s="2">
        <v>45987</v>
      </c>
      <c r="D129" t="s">
        <v>68</v>
      </c>
      <c r="E129" s="2">
        <v>45992</v>
      </c>
      <c r="F129" s="4"/>
      <c r="G129">
        <v>5</v>
      </c>
      <c r="H129" t="s">
        <v>56</v>
      </c>
      <c r="I129">
        <v>16</v>
      </c>
      <c r="J129">
        <v>1428</v>
      </c>
    </row>
    <row r="130" spans="1:10" outlineLevel="2" x14ac:dyDescent="0.3">
      <c r="A130" t="s">
        <v>9</v>
      </c>
      <c r="B130" t="s">
        <v>67</v>
      </c>
      <c r="C130" s="2">
        <v>45987</v>
      </c>
      <c r="D130" t="s">
        <v>68</v>
      </c>
      <c r="E130" s="2">
        <v>45992</v>
      </c>
      <c r="F130" s="4"/>
      <c r="G130">
        <v>5</v>
      </c>
      <c r="H130" t="s">
        <v>19</v>
      </c>
      <c r="I130">
        <v>32</v>
      </c>
      <c r="J130">
        <v>5280</v>
      </c>
    </row>
    <row r="131" spans="1:10" outlineLevel="2" x14ac:dyDescent="0.3">
      <c r="A131" t="s">
        <v>9</v>
      </c>
      <c r="B131" t="s">
        <v>67</v>
      </c>
      <c r="C131" s="2">
        <v>45987</v>
      </c>
      <c r="D131" t="s">
        <v>68</v>
      </c>
      <c r="E131" s="2">
        <v>45992</v>
      </c>
      <c r="F131" s="4"/>
      <c r="G131">
        <v>5</v>
      </c>
      <c r="H131" t="s">
        <v>57</v>
      </c>
      <c r="I131">
        <v>16</v>
      </c>
      <c r="J131">
        <v>1428</v>
      </c>
    </row>
    <row r="132" spans="1:10" outlineLevel="2" x14ac:dyDescent="0.3">
      <c r="A132" t="s">
        <v>9</v>
      </c>
      <c r="B132" t="s">
        <v>67</v>
      </c>
      <c r="C132" s="2">
        <v>45987</v>
      </c>
      <c r="D132" t="s">
        <v>68</v>
      </c>
      <c r="E132" s="2">
        <v>45992</v>
      </c>
      <c r="F132" s="4"/>
      <c r="G132">
        <v>5</v>
      </c>
      <c r="H132" t="s">
        <v>39</v>
      </c>
      <c r="I132">
        <v>16</v>
      </c>
      <c r="J132">
        <v>3587.8335999999999</v>
      </c>
    </row>
    <row r="133" spans="1:10" outlineLevel="2" x14ac:dyDescent="0.3">
      <c r="A133" t="s">
        <v>9</v>
      </c>
      <c r="B133" t="s">
        <v>67</v>
      </c>
      <c r="C133" s="2">
        <v>45987</v>
      </c>
      <c r="D133" t="s">
        <v>68</v>
      </c>
      <c r="E133" s="2">
        <v>45992</v>
      </c>
      <c r="F133" s="4"/>
      <c r="G133">
        <v>5</v>
      </c>
      <c r="H133" t="s">
        <v>30</v>
      </c>
      <c r="I133">
        <v>16</v>
      </c>
      <c r="J133">
        <v>3587.8335999999999</v>
      </c>
    </row>
    <row r="134" spans="1:10" outlineLevel="2" x14ac:dyDescent="0.3">
      <c r="A134" t="s">
        <v>9</v>
      </c>
      <c r="B134" t="s">
        <v>67</v>
      </c>
      <c r="C134" s="2">
        <v>45987</v>
      </c>
      <c r="D134" t="s">
        <v>68</v>
      </c>
      <c r="E134" s="2">
        <v>45992</v>
      </c>
      <c r="F134" s="4"/>
      <c r="G134">
        <v>5</v>
      </c>
      <c r="H134" t="s">
        <v>44</v>
      </c>
      <c r="I134">
        <v>36</v>
      </c>
      <c r="J134">
        <v>18873.0144</v>
      </c>
    </row>
    <row r="135" spans="1:10" outlineLevel="1" x14ac:dyDescent="0.3">
      <c r="C135" s="2"/>
      <c r="E135" s="2"/>
      <c r="F135" s="5">
        <v>5</v>
      </c>
      <c r="G135">
        <f>SUBTOTAL(9,G113:G134)</f>
        <v>110</v>
      </c>
    </row>
    <row r="136" spans="1:10" outlineLevel="2" x14ac:dyDescent="0.3">
      <c r="A136" t="s">
        <v>9</v>
      </c>
      <c r="B136" t="s">
        <v>71</v>
      </c>
      <c r="C136" s="2">
        <v>45995</v>
      </c>
      <c r="D136" t="s">
        <v>72</v>
      </c>
      <c r="E136" s="2">
        <v>45997</v>
      </c>
      <c r="F136" s="4"/>
      <c r="G136">
        <v>2</v>
      </c>
      <c r="H136" t="s">
        <v>23</v>
      </c>
      <c r="I136">
        <v>8</v>
      </c>
      <c r="J136">
        <v>5993.7664000000004</v>
      </c>
    </row>
    <row r="137" spans="1:10" outlineLevel="2" x14ac:dyDescent="0.3">
      <c r="A137" t="s">
        <v>9</v>
      </c>
      <c r="B137" t="s">
        <v>71</v>
      </c>
      <c r="C137" s="2">
        <v>45995</v>
      </c>
      <c r="D137" t="s">
        <v>72</v>
      </c>
      <c r="E137" s="2">
        <v>45997</v>
      </c>
      <c r="F137" s="4"/>
      <c r="G137">
        <v>2</v>
      </c>
      <c r="H137" t="s">
        <v>24</v>
      </c>
      <c r="I137">
        <v>3</v>
      </c>
      <c r="J137">
        <v>4047.6576</v>
      </c>
    </row>
    <row r="138" spans="1:10" outlineLevel="2" x14ac:dyDescent="0.3">
      <c r="A138" t="s">
        <v>9</v>
      </c>
      <c r="B138" t="s">
        <v>71</v>
      </c>
      <c r="C138" s="2">
        <v>45995</v>
      </c>
      <c r="D138" t="s">
        <v>72</v>
      </c>
      <c r="E138" s="2">
        <v>45997</v>
      </c>
      <c r="F138" s="4"/>
      <c r="G138">
        <v>2</v>
      </c>
      <c r="H138" t="s">
        <v>12</v>
      </c>
      <c r="I138">
        <v>6</v>
      </c>
      <c r="J138">
        <v>8811.5687999999991</v>
      </c>
    </row>
    <row r="139" spans="1:10" outlineLevel="2" x14ac:dyDescent="0.3">
      <c r="A139" t="s">
        <v>9</v>
      </c>
      <c r="B139" t="s">
        <v>71</v>
      </c>
      <c r="C139" s="2">
        <v>45995</v>
      </c>
      <c r="D139" t="s">
        <v>72</v>
      </c>
      <c r="E139" s="2">
        <v>45997</v>
      </c>
      <c r="F139" s="4"/>
      <c r="G139">
        <v>2</v>
      </c>
      <c r="H139" t="s">
        <v>53</v>
      </c>
      <c r="I139">
        <v>3</v>
      </c>
      <c r="J139">
        <v>3372.5400009999998</v>
      </c>
    </row>
    <row r="140" spans="1:10" outlineLevel="2" x14ac:dyDescent="0.3">
      <c r="A140" t="s">
        <v>9</v>
      </c>
      <c r="B140" t="s">
        <v>71</v>
      </c>
      <c r="C140" s="2">
        <v>45995</v>
      </c>
      <c r="D140" t="s">
        <v>72</v>
      </c>
      <c r="E140" s="2">
        <v>45997</v>
      </c>
      <c r="F140" s="4"/>
      <c r="G140">
        <v>2</v>
      </c>
      <c r="H140" t="s">
        <v>13</v>
      </c>
      <c r="I140">
        <v>16</v>
      </c>
      <c r="J140">
        <v>1188</v>
      </c>
    </row>
    <row r="141" spans="1:10" outlineLevel="2" x14ac:dyDescent="0.3">
      <c r="A141" t="s">
        <v>9</v>
      </c>
      <c r="B141" t="s">
        <v>71</v>
      </c>
      <c r="C141" s="2">
        <v>45995</v>
      </c>
      <c r="D141" t="s">
        <v>72</v>
      </c>
      <c r="E141" s="2">
        <v>45997</v>
      </c>
      <c r="F141" s="4"/>
      <c r="G141">
        <v>2</v>
      </c>
      <c r="H141" t="s">
        <v>48</v>
      </c>
      <c r="I141">
        <v>4</v>
      </c>
      <c r="J141">
        <v>3296.0000020000002</v>
      </c>
    </row>
    <row r="142" spans="1:10" outlineLevel="2" x14ac:dyDescent="0.3">
      <c r="A142" t="s">
        <v>9</v>
      </c>
      <c r="B142" t="s">
        <v>71</v>
      </c>
      <c r="C142" s="2">
        <v>45995</v>
      </c>
      <c r="D142" t="s">
        <v>72</v>
      </c>
      <c r="E142" s="2">
        <v>45997</v>
      </c>
      <c r="F142" s="4"/>
      <c r="G142">
        <v>2</v>
      </c>
      <c r="H142" t="s">
        <v>54</v>
      </c>
      <c r="I142">
        <v>4</v>
      </c>
      <c r="J142">
        <v>3296.8128000000002</v>
      </c>
    </row>
    <row r="143" spans="1:10" outlineLevel="2" x14ac:dyDescent="0.3">
      <c r="A143" t="s">
        <v>9</v>
      </c>
      <c r="B143" t="s">
        <v>71</v>
      </c>
      <c r="C143" s="2">
        <v>45995</v>
      </c>
      <c r="D143" t="s">
        <v>72</v>
      </c>
      <c r="E143" s="2">
        <v>45997</v>
      </c>
      <c r="F143" s="4"/>
      <c r="G143">
        <v>2</v>
      </c>
      <c r="H143" t="s">
        <v>49</v>
      </c>
      <c r="I143">
        <v>4</v>
      </c>
      <c r="J143">
        <v>2996.8832000000002</v>
      </c>
    </row>
    <row r="144" spans="1:10" outlineLevel="2" x14ac:dyDescent="0.3">
      <c r="A144" t="s">
        <v>9</v>
      </c>
      <c r="B144" t="s">
        <v>71</v>
      </c>
      <c r="C144" s="2">
        <v>45995</v>
      </c>
      <c r="D144" t="s">
        <v>72</v>
      </c>
      <c r="E144" s="2">
        <v>45997</v>
      </c>
      <c r="F144" s="4"/>
      <c r="G144">
        <v>2</v>
      </c>
      <c r="H144" t="s">
        <v>16</v>
      </c>
      <c r="I144">
        <v>3</v>
      </c>
      <c r="J144">
        <v>4047.6576</v>
      </c>
    </row>
    <row r="145" spans="1:10" outlineLevel="2" x14ac:dyDescent="0.3">
      <c r="A145" t="s">
        <v>9</v>
      </c>
      <c r="B145" t="s">
        <v>71</v>
      </c>
      <c r="C145" s="2">
        <v>45995</v>
      </c>
      <c r="D145" t="s">
        <v>72</v>
      </c>
      <c r="E145" s="2">
        <v>45997</v>
      </c>
      <c r="F145" s="4"/>
      <c r="G145">
        <v>2</v>
      </c>
      <c r="H145" t="s">
        <v>27</v>
      </c>
      <c r="I145">
        <v>3</v>
      </c>
      <c r="J145">
        <v>4047.6576</v>
      </c>
    </row>
    <row r="146" spans="1:10" outlineLevel="2" x14ac:dyDescent="0.3">
      <c r="A146" t="s">
        <v>9</v>
      </c>
      <c r="B146" t="s">
        <v>71</v>
      </c>
      <c r="C146" s="2">
        <v>45995</v>
      </c>
      <c r="D146" t="s">
        <v>72</v>
      </c>
      <c r="E146" s="2">
        <v>45997</v>
      </c>
      <c r="F146" s="4"/>
      <c r="G146">
        <v>2</v>
      </c>
      <c r="H146" t="s">
        <v>29</v>
      </c>
      <c r="I146">
        <v>48</v>
      </c>
      <c r="J146">
        <v>4284</v>
      </c>
    </row>
    <row r="147" spans="1:10" outlineLevel="2" x14ac:dyDescent="0.3">
      <c r="A147" t="s">
        <v>9</v>
      </c>
      <c r="B147" t="s">
        <v>71</v>
      </c>
      <c r="C147" s="2">
        <v>45995</v>
      </c>
      <c r="D147" t="s">
        <v>72</v>
      </c>
      <c r="E147" s="2">
        <v>45997</v>
      </c>
      <c r="F147" s="4"/>
      <c r="G147">
        <v>2</v>
      </c>
      <c r="H147" t="s">
        <v>43</v>
      </c>
      <c r="I147">
        <v>24</v>
      </c>
      <c r="J147">
        <v>2880.4799929999999</v>
      </c>
    </row>
    <row r="148" spans="1:10" outlineLevel="2" x14ac:dyDescent="0.3">
      <c r="A148" t="s">
        <v>9</v>
      </c>
      <c r="B148" t="s">
        <v>71</v>
      </c>
      <c r="C148" s="2">
        <v>45995</v>
      </c>
      <c r="D148" t="s">
        <v>72</v>
      </c>
      <c r="E148" s="2">
        <v>45997</v>
      </c>
      <c r="F148" s="4"/>
      <c r="G148">
        <v>2</v>
      </c>
      <c r="H148" t="s">
        <v>73</v>
      </c>
      <c r="I148">
        <v>24</v>
      </c>
      <c r="J148">
        <v>2880.4799929999999</v>
      </c>
    </row>
    <row r="149" spans="1:10" outlineLevel="2" x14ac:dyDescent="0.3">
      <c r="A149" t="s">
        <v>9</v>
      </c>
      <c r="B149" t="s">
        <v>71</v>
      </c>
      <c r="C149" s="2">
        <v>45995</v>
      </c>
      <c r="D149" t="s">
        <v>72</v>
      </c>
      <c r="E149" s="2">
        <v>45997</v>
      </c>
      <c r="F149" s="4"/>
      <c r="G149">
        <v>2</v>
      </c>
      <c r="H149" t="s">
        <v>18</v>
      </c>
      <c r="I149">
        <v>48</v>
      </c>
      <c r="J149">
        <v>7920</v>
      </c>
    </row>
    <row r="150" spans="1:10" outlineLevel="2" x14ac:dyDescent="0.3">
      <c r="A150" t="s">
        <v>9</v>
      </c>
      <c r="B150" t="s">
        <v>71</v>
      </c>
      <c r="C150" s="2">
        <v>45995</v>
      </c>
      <c r="D150" t="s">
        <v>72</v>
      </c>
      <c r="E150" s="2">
        <v>45997</v>
      </c>
      <c r="F150" s="4"/>
      <c r="G150">
        <v>2</v>
      </c>
      <c r="H150" t="s">
        <v>60</v>
      </c>
      <c r="I150">
        <v>24</v>
      </c>
      <c r="J150">
        <v>2880.4799929999999</v>
      </c>
    </row>
    <row r="151" spans="1:10" outlineLevel="2" x14ac:dyDescent="0.3">
      <c r="A151" t="s">
        <v>9</v>
      </c>
      <c r="B151" t="s">
        <v>71</v>
      </c>
      <c r="C151" s="2">
        <v>45995</v>
      </c>
      <c r="D151" t="s">
        <v>72</v>
      </c>
      <c r="E151" s="2">
        <v>45997</v>
      </c>
      <c r="F151" s="4"/>
      <c r="G151">
        <v>2</v>
      </c>
      <c r="H151" t="s">
        <v>56</v>
      </c>
      <c r="I151">
        <v>48</v>
      </c>
      <c r="J151">
        <v>4284</v>
      </c>
    </row>
    <row r="152" spans="1:10" outlineLevel="2" x14ac:dyDescent="0.3">
      <c r="A152" t="s">
        <v>9</v>
      </c>
      <c r="B152" t="s">
        <v>71</v>
      </c>
      <c r="C152" s="2">
        <v>45995</v>
      </c>
      <c r="D152" t="s">
        <v>72</v>
      </c>
      <c r="E152" s="2">
        <v>45997</v>
      </c>
      <c r="F152" s="4"/>
      <c r="G152">
        <v>2</v>
      </c>
      <c r="H152" t="s">
        <v>19</v>
      </c>
      <c r="I152">
        <v>32</v>
      </c>
      <c r="J152">
        <v>5280</v>
      </c>
    </row>
    <row r="153" spans="1:10" outlineLevel="2" x14ac:dyDescent="0.3">
      <c r="A153" t="s">
        <v>9</v>
      </c>
      <c r="B153" t="s">
        <v>71</v>
      </c>
      <c r="C153" s="2">
        <v>45995</v>
      </c>
      <c r="D153" t="s">
        <v>72</v>
      </c>
      <c r="E153" s="2">
        <v>45997</v>
      </c>
      <c r="F153" s="4"/>
      <c r="G153">
        <v>2</v>
      </c>
      <c r="H153" t="s">
        <v>57</v>
      </c>
      <c r="I153">
        <v>16</v>
      </c>
      <c r="J153">
        <v>1428</v>
      </c>
    </row>
    <row r="154" spans="1:10" outlineLevel="2" x14ac:dyDescent="0.3">
      <c r="A154" t="s">
        <v>9</v>
      </c>
      <c r="B154" t="s">
        <v>71</v>
      </c>
      <c r="C154" s="2">
        <v>45995</v>
      </c>
      <c r="D154" t="s">
        <v>72</v>
      </c>
      <c r="E154" s="2">
        <v>45997</v>
      </c>
      <c r="F154" s="4"/>
      <c r="G154">
        <v>2</v>
      </c>
      <c r="H154" t="s">
        <v>20</v>
      </c>
      <c r="I154">
        <v>12</v>
      </c>
      <c r="J154">
        <v>1800.9695999999999</v>
      </c>
    </row>
    <row r="155" spans="1:10" outlineLevel="2" x14ac:dyDescent="0.3">
      <c r="A155" t="s">
        <v>9</v>
      </c>
      <c r="B155" t="s">
        <v>71</v>
      </c>
      <c r="C155" s="2">
        <v>45995</v>
      </c>
      <c r="D155" t="s">
        <v>72</v>
      </c>
      <c r="E155" s="2">
        <v>45997</v>
      </c>
      <c r="F155" s="4"/>
      <c r="G155">
        <v>2</v>
      </c>
      <c r="H155" t="s">
        <v>74</v>
      </c>
      <c r="I155">
        <v>9</v>
      </c>
      <c r="J155">
        <v>4718.2499980000002</v>
      </c>
    </row>
    <row r="156" spans="1:10" outlineLevel="1" x14ac:dyDescent="0.3">
      <c r="C156" s="2"/>
      <c r="E156" s="2"/>
      <c r="F156" s="5">
        <v>2</v>
      </c>
      <c r="G156">
        <f>SUBTOTAL(9,G136:G155)</f>
        <v>40</v>
      </c>
    </row>
    <row r="157" spans="1:10" outlineLevel="1" x14ac:dyDescent="0.3">
      <c r="A157" t="s">
        <v>9</v>
      </c>
      <c r="B157" t="s">
        <v>75</v>
      </c>
      <c r="D157" t="s">
        <v>76</v>
      </c>
      <c r="E157" s="2">
        <v>45936</v>
      </c>
      <c r="F157" s="4"/>
      <c r="H157" t="s">
        <v>17</v>
      </c>
      <c r="I157">
        <v>4</v>
      </c>
      <c r="J157">
        <v>2996.8832000000002</v>
      </c>
    </row>
    <row r="158" spans="1:10" outlineLevel="1" x14ac:dyDescent="0.3">
      <c r="A158" t="s">
        <v>9</v>
      </c>
      <c r="B158" t="s">
        <v>75</v>
      </c>
      <c r="D158" t="s">
        <v>76</v>
      </c>
      <c r="E158" s="2">
        <v>45936</v>
      </c>
      <c r="F158" s="4"/>
      <c r="H158" t="s">
        <v>27</v>
      </c>
      <c r="I158">
        <v>3</v>
      </c>
      <c r="J158">
        <v>4047.6576</v>
      </c>
    </row>
    <row r="159" spans="1:10" outlineLevel="1" x14ac:dyDescent="0.3">
      <c r="A159" t="s">
        <v>9</v>
      </c>
      <c r="B159" t="s">
        <v>75</v>
      </c>
      <c r="D159" t="s">
        <v>76</v>
      </c>
      <c r="E159" s="2">
        <v>45936</v>
      </c>
      <c r="F159" s="4"/>
      <c r="H159" t="s">
        <v>29</v>
      </c>
      <c r="I159">
        <v>16</v>
      </c>
      <c r="J159">
        <v>1428</v>
      </c>
    </row>
    <row r="160" spans="1:10" outlineLevel="1" x14ac:dyDescent="0.3">
      <c r="A160" t="s">
        <v>9</v>
      </c>
      <c r="B160" t="s">
        <v>77</v>
      </c>
      <c r="D160" t="s">
        <v>78</v>
      </c>
      <c r="E160" s="2">
        <v>45955</v>
      </c>
      <c r="F160" s="4"/>
      <c r="H160" t="s">
        <v>23</v>
      </c>
      <c r="I160">
        <v>4</v>
      </c>
      <c r="J160">
        <v>2996.8832000000002</v>
      </c>
    </row>
    <row r="161" spans="1:10" outlineLevel="1" x14ac:dyDescent="0.3">
      <c r="A161" t="s">
        <v>9</v>
      </c>
      <c r="B161" t="s">
        <v>77</v>
      </c>
      <c r="D161" t="s">
        <v>78</v>
      </c>
      <c r="E161" s="2">
        <v>45955</v>
      </c>
      <c r="F161" s="4"/>
      <c r="H161" t="s">
        <v>24</v>
      </c>
      <c r="I161">
        <v>3</v>
      </c>
      <c r="J161">
        <v>4047.6576</v>
      </c>
    </row>
    <row r="162" spans="1:10" outlineLevel="1" x14ac:dyDescent="0.3">
      <c r="A162" t="s">
        <v>9</v>
      </c>
      <c r="B162" t="s">
        <v>77</v>
      </c>
      <c r="D162" t="s">
        <v>78</v>
      </c>
      <c r="E162" s="2">
        <v>45955</v>
      </c>
      <c r="F162" s="4"/>
      <c r="H162" t="s">
        <v>12</v>
      </c>
      <c r="I162">
        <v>3</v>
      </c>
      <c r="J162">
        <v>4405.7843999999996</v>
      </c>
    </row>
    <row r="163" spans="1:10" outlineLevel="1" x14ac:dyDescent="0.3">
      <c r="A163" t="s">
        <v>9</v>
      </c>
      <c r="B163" t="s">
        <v>77</v>
      </c>
      <c r="D163" t="s">
        <v>78</v>
      </c>
      <c r="E163" s="2">
        <v>45955</v>
      </c>
      <c r="F163" s="4"/>
      <c r="H163" t="s">
        <v>13</v>
      </c>
      <c r="I163">
        <v>16</v>
      </c>
      <c r="J163">
        <v>1188</v>
      </c>
    </row>
    <row r="164" spans="1:10" outlineLevel="1" x14ac:dyDescent="0.3">
      <c r="A164" t="s">
        <v>9</v>
      </c>
      <c r="B164" t="s">
        <v>77</v>
      </c>
      <c r="D164" t="s">
        <v>78</v>
      </c>
      <c r="E164" s="2">
        <v>45955</v>
      </c>
      <c r="F164" s="4"/>
      <c r="H164" t="s">
        <v>16</v>
      </c>
      <c r="I164">
        <v>3</v>
      </c>
      <c r="J164">
        <v>4047.6576</v>
      </c>
    </row>
    <row r="165" spans="1:10" outlineLevel="1" x14ac:dyDescent="0.3">
      <c r="A165" t="s">
        <v>9</v>
      </c>
      <c r="B165" t="s">
        <v>77</v>
      </c>
      <c r="D165" t="s">
        <v>78</v>
      </c>
      <c r="E165" s="2">
        <v>45955</v>
      </c>
      <c r="F165" s="4"/>
      <c r="H165" t="s">
        <v>17</v>
      </c>
      <c r="I165">
        <v>4</v>
      </c>
      <c r="J165">
        <v>2996.8832000000002</v>
      </c>
    </row>
    <row r="166" spans="1:10" outlineLevel="1" x14ac:dyDescent="0.3">
      <c r="A166" t="s">
        <v>9</v>
      </c>
      <c r="B166" t="s">
        <v>77</v>
      </c>
      <c r="D166" t="s">
        <v>78</v>
      </c>
      <c r="E166" s="2">
        <v>45955</v>
      </c>
      <c r="F166" s="4"/>
      <c r="H166" t="s">
        <v>27</v>
      </c>
      <c r="I166">
        <v>6</v>
      </c>
      <c r="J166">
        <v>8095.3152</v>
      </c>
    </row>
    <row r="167" spans="1:10" outlineLevel="1" x14ac:dyDescent="0.3">
      <c r="A167" t="s">
        <v>9</v>
      </c>
      <c r="B167" t="s">
        <v>77</v>
      </c>
      <c r="D167" t="s">
        <v>78</v>
      </c>
      <c r="E167" s="2">
        <v>45955</v>
      </c>
      <c r="F167" s="4"/>
      <c r="H167" t="s">
        <v>29</v>
      </c>
      <c r="I167">
        <v>32</v>
      </c>
      <c r="J167">
        <v>2856</v>
      </c>
    </row>
    <row r="168" spans="1:10" outlineLevel="1" x14ac:dyDescent="0.3">
      <c r="A168" t="s">
        <v>9</v>
      </c>
      <c r="B168" t="s">
        <v>77</v>
      </c>
      <c r="D168" t="s">
        <v>78</v>
      </c>
      <c r="E168" s="2">
        <v>45955</v>
      </c>
      <c r="F168" s="4"/>
      <c r="H168" t="s">
        <v>18</v>
      </c>
      <c r="I168">
        <v>16</v>
      </c>
      <c r="J168">
        <v>2640</v>
      </c>
    </row>
    <row r="169" spans="1:10" outlineLevel="1" x14ac:dyDescent="0.3">
      <c r="A169" t="s">
        <v>9</v>
      </c>
      <c r="B169" t="s">
        <v>77</v>
      </c>
      <c r="D169" t="s">
        <v>78</v>
      </c>
      <c r="E169" s="2">
        <v>45955</v>
      </c>
      <c r="F169" s="4"/>
      <c r="H169" t="s">
        <v>19</v>
      </c>
      <c r="I169">
        <v>16</v>
      </c>
      <c r="J169">
        <v>2640</v>
      </c>
    </row>
    <row r="170" spans="1:10" outlineLevel="1" x14ac:dyDescent="0.3">
      <c r="A170" t="s">
        <v>9</v>
      </c>
      <c r="B170" t="s">
        <v>77</v>
      </c>
      <c r="D170" t="s">
        <v>78</v>
      </c>
      <c r="E170" s="2">
        <v>45955</v>
      </c>
      <c r="F170" s="4"/>
      <c r="H170" t="s">
        <v>44</v>
      </c>
      <c r="I170">
        <v>9</v>
      </c>
      <c r="J170">
        <v>4718.2536</v>
      </c>
    </row>
    <row r="171" spans="1:10" outlineLevel="1" x14ac:dyDescent="0.3">
      <c r="E171" s="2"/>
      <c r="F171" s="5"/>
      <c r="G171">
        <f>SUBTOTAL(9,G2:G170)</f>
        <v>527</v>
      </c>
    </row>
    <row r="172" spans="1:10" x14ac:dyDescent="0.3">
      <c r="F172" s="4"/>
    </row>
    <row r="173" spans="1:10" x14ac:dyDescent="0.3">
      <c r="F173" s="4">
        <f>AVERAGE(F156,F135,F112,F96,F77,F44,F35,F23,F11)</f>
        <v>3.5555555555555554</v>
      </c>
    </row>
    <row r="174" spans="1:10" x14ac:dyDescent="0.3">
      <c r="G174" s="2"/>
    </row>
    <row r="175" spans="1:10" x14ac:dyDescent="0.3">
      <c r="F175" s="4">
        <f>AVERAGE(F156,F135,F96,F77,F44,F35,F23,F11)</f>
        <v>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iLink</cp:lastModifiedBy>
  <dcterms:created xsi:type="dcterms:W3CDTF">2026-01-12T16:52:10Z</dcterms:created>
  <dcterms:modified xsi:type="dcterms:W3CDTF">2026-01-13T14:53:49Z</dcterms:modified>
</cp:coreProperties>
</file>